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Control" sheetId="2" state="visible" r:id="rId4"/>
    <sheet name="Dashboard" sheetId="3" state="visible" r:id="rId5"/>
    <sheet name="GovAffairs" sheetId="4" state="visible" r:id="rId6"/>
    <sheet name="Policy" sheetId="5" state="visible" r:id="rId7"/>
    <sheet name="PublicAffairs" sheetId="6" state="visible" r:id="rId8"/>
    <sheet name="PublicInterest" sheetId="7" state="visible" r:id="rId9"/>
    <sheet name="HR" sheetId="8" state="visible" r:id="rId10"/>
    <sheet name="OrgInterest" sheetId="9" state="visible" r:id="rId11"/>
    <sheet name="Payroll" sheetId="10" state="visible" r:id="rId12"/>
    <sheet name="Finance" sheetId="11" state="visible" r:id="rId13"/>
    <sheet name="Audit" sheetId="12" state="visible" r:id="rId14"/>
    <sheet name="Commercials" sheetId="13" state="visible" r:id="rId15"/>
    <sheet name="Procurement" sheetId="14" state="visible" r:id="rId16"/>
    <sheet name="Production" sheetId="15" state="visible" r:id="rId17"/>
    <sheet name="Mock_Test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<sst xmlns="http://schemas.openxmlformats.org/spreadsheetml/2006/main" count="940" uniqueCount="500">
  <si>
    <t xml:space="preserve">Chamber Resilience Mock-Test Workbook</t>
  </si>
  <si>
    <t xml:space="preserve">A practice tool for the incoming Chair: twelve sector tabs with live formulas, a scenario stress-test switch, a dashboard and a scored mock test.</t>
  </si>
  <si>
    <t xml:space="preserve">PURPOSE</t>
  </si>
  <si>
    <t xml:space="preserve">Practise the Chair's job: read the KPIs of twelve functions, spot the weakest link, and choose the priority action, first in normal conditions and then under shock.</t>
  </si>
  <si>
    <t xml:space="preserve">HOW TO USE</t>
  </si>
  <si>
    <t xml:space="preserve">1) Open Control and pick a scenario (Base Case first). 2) Open Dashboard to see the overall score and each sector's red/amber/green status. 3) Open any sector tab to see its inputs, KPIs, weakest KPI and the Chair's action. 4) Take the mock test on Mock_Test.</t>
  </si>
  <si>
    <t xml:space="preserve">COLOUR CODE</t>
  </si>
  <si>
    <t xml:space="preserve">Blue text on yellow = a value you can edit. Black = a formula (do not overwrite). Green text = a link to another sheet. GREEN / AMBER / RED fills = status.</t>
  </si>
  <si>
    <t xml:space="preserve">SCORING</t>
  </si>
  <si>
    <t xml:space="preserve">Each KPI scores 100 at its Green threshold and 0 at its Red threshold, in a straight line between. A sector score is the weighted average of its KPI scores. The overall score is the weighted average of the sector scores. Cut-offs (70 and 40) are editable on Control.</t>
  </si>
  <si>
    <t xml:space="preserve">SCENARIOS</t>
  </si>
  <si>
    <t xml:space="preserve">Control holds six scenarios as multipliers on revenue, input cost, supplier delivery, receivable days, attrition, compliance slippage, payroll errors, downtime and incidents. Edit them to invent your own stress test.</t>
  </si>
  <si>
    <t xml:space="preserve">SAMPLE DATA</t>
  </si>
  <si>
    <t xml:space="preserve">All base values are illustrative figures for a mid-sized manufacturing chamber (PKR millions where money is shown). Replace them with real data before drawing conclusions. This is a training tool, not an audit or advice.</t>
  </si>
  <si>
    <t xml:space="preserve">MOCK TEST</t>
  </si>
  <si>
    <t xml:space="preserve">Part A: 24 questions, two per sector, scored automatically; set 'Reveal answers' to Yes to see the key and reasoning. Part B: predict the weakest sector under each scenario and check it against the live dashboard.</t>
  </si>
  <si>
    <t xml:space="preserve">TABS</t>
  </si>
  <si>
    <t xml:space="preserve">Control | Dashboard | GovAffairs | Policy | PublicAffairs | PublicInterest | HR | OrgInterest | Payroll | Finance | Audit | Commercials | Procurement | Production | Mock_Test</t>
  </si>
  <si>
    <t xml:space="preserve">Control Panel: Scenario, Cut-offs and Weights</t>
  </si>
  <si>
    <t xml:space="preserve">Choose a scenario below; every sector tab and the Dashboard recalculate instantly. Blue cells on yellow are editable.</t>
  </si>
  <si>
    <t xml:space="preserve">Select active scenario &gt;</t>
  </si>
  <si>
    <t xml:space="preserve">Base Case</t>
  </si>
  <si>
    <t xml:space="preserve">SCENARIO SHOCK TABLE (edit the multipliers to design your own stress test)</t>
  </si>
  <si>
    <t xml:space="preserve">Scenario</t>
  </si>
  <si>
    <t xml:space="preserve">Revenue ×</t>
  </si>
  <si>
    <t xml:space="preserve">Input-cost ×</t>
  </si>
  <si>
    <t xml:space="preserve">Supplier on-time ×</t>
  </si>
  <si>
    <t xml:space="preserve">Extra receivable days</t>
  </si>
  <si>
    <t xml:space="preserve">Attrition ×</t>
  </si>
  <si>
    <t xml:space="preserve">Compliance-slip ×</t>
  </si>
  <si>
    <t xml:space="preserve">Payroll-error ×</t>
  </si>
  <si>
    <t xml:space="preserve">Downtime ×</t>
  </si>
  <si>
    <t xml:space="preserve">Incident ×</t>
  </si>
  <si>
    <t xml:space="preserve">What it simulates</t>
  </si>
  <si>
    <t xml:space="preserve">Normal operating conditions using the base values you entered.</t>
  </si>
  <si>
    <t xml:space="preserve">Supply Shock</t>
  </si>
  <si>
    <t xml:space="preserve">Commodity prices spike and key suppliers deliver late: input costs +18%, supplier on-time delivery -18%, downtime +35%, revenue -5%.</t>
  </si>
  <si>
    <t xml:space="preserve">Cash Squeeze</t>
  </si>
  <si>
    <t xml:space="preserve">Customers pay slowly and demand softens: revenue -20%, receivable days +25, attrition +10%.</t>
  </si>
  <si>
    <t xml:space="preserve">Regulatory Shock</t>
  </si>
  <si>
    <t xml:space="preserve">A new regulation and an enforcement drive: compliance slippage ×3, payroll errors ×1.5, incidents ×2.</t>
  </si>
  <si>
    <t xml:space="preserve">Talent Exodus</t>
  </si>
  <si>
    <t xml:space="preserve">Competitors poach staff and morale falls: attrition ×2.2, payroll errors ×1.8, downtime ×1.25, incidents ×1.2, revenue -7%.</t>
  </si>
  <si>
    <t xml:space="preserve">Control Failure / Fraud</t>
  </si>
  <si>
    <t xml:space="preserve">Weak payroll and approval controls are exploited: payroll errors ×4, incidents ×3, compliance slippage ×1.5.</t>
  </si>
  <si>
    <t xml:space="preserve">ACTIVE FACTORS (live: do not edit)</t>
  </si>
  <si>
    <t xml:space="preserve">Currently applied</t>
  </si>
  <si>
    <t xml:space="preserve">STATUS CUT-OFFS (score out of 100)</t>
  </si>
  <si>
    <t xml:space="preserve">GREEN at or above</t>
  </si>
  <si>
    <t xml:space="preserve">A KPI scores 100 at its Green threshold and 0 at its Red threshold, with a straight line between.</t>
  </si>
  <si>
    <t xml:space="preserve">AMBER at or above (below is RED)</t>
  </si>
  <si>
    <t xml:space="preserve">SECTOR WEIGHTS FOR THE OVERALL RESILIENCE SCORE</t>
  </si>
  <si>
    <t xml:space="preserve">Sector</t>
  </si>
  <si>
    <t xml:space="preserve">Weight</t>
  </si>
  <si>
    <t xml:space="preserve">Government Affairs</t>
  </si>
  <si>
    <t xml:space="preserve">Policy Making</t>
  </si>
  <si>
    <t xml:space="preserve">Public Affairs</t>
  </si>
  <si>
    <t xml:space="preserve">Public Interest</t>
  </si>
  <si>
    <t xml:space="preserve">Human Resources</t>
  </si>
  <si>
    <t xml:space="preserve">Organizational Interest</t>
  </si>
  <si>
    <t xml:space="preserve">Payroll</t>
  </si>
  <si>
    <t xml:space="preserve">Finance</t>
  </si>
  <si>
    <t xml:space="preserve">Audit</t>
  </si>
  <si>
    <t xml:space="preserve">Commercials</t>
  </si>
  <si>
    <t xml:space="preserve">Procurement</t>
  </si>
  <si>
    <t xml:space="preserve">Production</t>
  </si>
  <si>
    <t xml:space="preserve">Chamber Resilience Dashboard</t>
  </si>
  <si>
    <t xml:space="preserve">Live roll-up of all twelve sectors. Change the scenario on the Control sheet and watch the colours move.</t>
  </si>
  <si>
    <t xml:space="preserve">Active scenario</t>
  </si>
  <si>
    <t xml:space="preserve">Overall resilience score</t>
  </si>
  <si>
    <t xml:space="preserve">Sectors GREEN / AMBER / RED</t>
  </si>
  <si>
    <t xml:space="preserve">Weakest sector right now</t>
  </si>
  <si>
    <t xml:space="preserve">#</t>
  </si>
  <si>
    <t xml:space="preserve">Score</t>
  </si>
  <si>
    <t xml:space="preserve">Status</t>
  </si>
  <si>
    <t xml:space="preserve">Weakest KPI</t>
  </si>
  <si>
    <t xml:space="preserve">Chair's priority action</t>
  </si>
  <si>
    <t xml:space="preserve">Open tab</t>
  </si>
  <si>
    <t xml:space="preserve">1. Government Affairs</t>
  </si>
  <si>
    <t xml:space="preserve">Stance: relationships with regulators belong to the institution, not to the person who holds them. Move them from personal rapport to documented channels.</t>
  </si>
  <si>
    <t xml:space="preserve">Active scenario:</t>
  </si>
  <si>
    <t xml:space="preserve">A. INPUTS (blue on yellow = edit the base value; the scenario-adjusted column recalculates from the Control sheet)</t>
  </si>
  <si>
    <t xml:space="preserve">Input</t>
  </si>
  <si>
    <t xml:space="preserve">Unit</t>
  </si>
  <si>
    <t xml:space="preserve">Base value</t>
  </si>
  <si>
    <t xml:space="preserve">Scenario-adjusted</t>
  </si>
  <si>
    <t xml:space="preserve">Note</t>
  </si>
  <si>
    <t xml:space="preserve">Regulatory filings due this year</t>
  </si>
  <si>
    <t xml:space="preserve">count</t>
  </si>
  <si>
    <t xml:space="preserve">From the compliance calendar</t>
  </si>
  <si>
    <t xml:space="preserve">Filings submitted late</t>
  </si>
  <si>
    <t xml:space="preserve">Includes extensions not pre-approved</t>
  </si>
  <si>
    <t xml:space="preserve">Regulators / ministries mapped</t>
  </si>
  <si>
    <t xml:space="preserve">From the regulator map</t>
  </si>
  <si>
    <t xml:space="preserve">Regulators with 2+ named institutional contacts</t>
  </si>
  <si>
    <t xml:space="preserve">Institutional, not personal, relationships</t>
  </si>
  <si>
    <t xml:space="preserve">Open regulatory queries</t>
  </si>
  <si>
    <t xml:space="preserve">Average age of open queries</t>
  </si>
  <si>
    <t xml:space="preserve">days</t>
  </si>
  <si>
    <t xml:space="preserve">B. KPI DASHBOARD</t>
  </si>
  <si>
    <t xml:space="preserve">KPI</t>
  </si>
  <si>
    <t xml:space="preserve">Value</t>
  </si>
  <si>
    <t xml:space="preserve">Green at</t>
  </si>
  <si>
    <t xml:space="preserve">Red at</t>
  </si>
  <si>
    <t xml:space="preserve">Direction</t>
  </si>
  <si>
    <t xml:space="preserve">Score (0-100)</t>
  </si>
  <si>
    <t xml:space="preserve">Chair's action if this is the weakest KPI</t>
  </si>
  <si>
    <t xml:space="preserve">On-time filing rate</t>
  </si>
  <si>
    <t xml:space="preserve">Higher is better</t>
  </si>
  <si>
    <t xml:space="preserve">Rebuild the compliance calendar under Audit ownership and clear the root cause of every late filing.</t>
  </si>
  <si>
    <t xml:space="preserve">Average age of open queries (days)</t>
  </si>
  <si>
    <t xml:space="preserve">Lower is better</t>
  </si>
  <si>
    <t xml:space="preserve">Give every open regulatory query a named owner and a response deadline.</t>
  </si>
  <si>
    <t xml:space="preserve">Hold a weekly query-clearing session until the backlog is under control.</t>
  </si>
  <si>
    <t xml:space="preserve">Institutional contact depth</t>
  </si>
  <si>
    <t xml:space="preserve">Name a second senior contact for each regulator; document every channel.</t>
  </si>
  <si>
    <t xml:space="preserve">SECTOR SCORE (0-100, weighted)</t>
  </si>
  <si>
    <t xml:space="preserve">SECTOR STATUS</t>
  </si>
  <si>
    <t xml:space="preserve">WEAKEST KPI</t>
  </si>
  <si>
    <t xml:space="preserve">CHAIR'S PRIORITY ACTION</t>
  </si>
  <si>
    <t xml:space="preserve">2. Policy Making</t>
  </si>
  <si>
    <t xml:space="preserve">Stance: internal policy is the chamber's operating law. If it is not written, owned and in date, it does not exist.</t>
  </si>
  <si>
    <t xml:space="preserve">Policies in the register</t>
  </si>
  <si>
    <t xml:space="preserve">Policy register</t>
  </si>
  <si>
    <t xml:space="preserve">Policies within their review date</t>
  </si>
  <si>
    <t xml:space="preserve">Exceptions granted this quarter</t>
  </si>
  <si>
    <t xml:space="preserve">Policies with a named owner</t>
  </si>
  <si>
    <t xml:space="preserve">Policy breaches reported this year</t>
  </si>
  <si>
    <t xml:space="preserve">Policies in date</t>
  </si>
  <si>
    <t xml:space="preserve">Fix a review calendar: annual for high-risk policies, every three years for the rest.</t>
  </si>
  <si>
    <t xml:space="preserve">Exception rate (exceptions / policies)</t>
  </si>
  <si>
    <t xml:space="preserve">Frequent exceptions mean the policy is wrong or ignored. Rewrite it or enforce it.</t>
  </si>
  <si>
    <t xml:space="preserve">Ownership coverage</t>
  </si>
  <si>
    <t xml:space="preserve">Assign an accountable owner to every policy without one.</t>
  </si>
  <si>
    <t xml:space="preserve">Breaches per 100 policies</t>
  </si>
  <si>
    <t xml:space="preserve">Root-cause each breach and report themes to the Audit &amp; Risk committee.</t>
  </si>
  <si>
    <t xml:space="preserve">3. Public Affairs</t>
  </si>
  <si>
    <t xml:space="preserve">Stance: one voice, one set of facts. Reputation is built slowly and lost in a single bad news cycle.</t>
  </si>
  <si>
    <t xml:space="preserve">Average response time to a stakeholder or media issue</t>
  </si>
  <si>
    <t xml:space="preserve">hours</t>
  </si>
  <si>
    <t xml:space="preserve">Stakeholder trust survey score</t>
  </si>
  <si>
    <t xml:space="preserve">%</t>
  </si>
  <si>
    <t xml:space="preserve">Annual survey</t>
  </si>
  <si>
    <t xml:space="preserve">Crisis scenarios identified</t>
  </si>
  <si>
    <t xml:space="preserve">Supply disruption, data breach, leadership vacancy, regulatory action, etc.</t>
  </si>
  <si>
    <t xml:space="preserve">Scenarios with an approved holding statement</t>
  </si>
  <si>
    <t xml:space="preserve">Reputation incidents this year</t>
  </si>
  <si>
    <t xml:space="preserve">Response time to issues (hours)</t>
  </si>
  <si>
    <t xml:space="preserve">Publish an authorized spokesperson list and a 4-hour first-response rule.</t>
  </si>
  <si>
    <t xml:space="preserve">Stakeholder trust score</t>
  </si>
  <si>
    <t xml:space="preserve">Commission a listening exercise and publish a short plain-language accountability report.</t>
  </si>
  <si>
    <t xml:space="preserve">Holding-statement coverage</t>
  </si>
  <si>
    <t xml:space="preserve">Draft and pre-approve holding statements for every identified crisis scenario.</t>
  </si>
  <si>
    <t xml:space="preserve">Reputation incidents</t>
  </si>
  <si>
    <t xml:space="preserve">Run a post-incident review for each event and feed the lessons into the crisis protocol.</t>
  </si>
  <si>
    <t xml:space="preserve">4. Public Interest</t>
  </si>
  <si>
    <t xml:space="preserve">Stance: legitimacy comes from serving more than our members. Where member and public interest conflict, disclose and decide openly.</t>
  </si>
  <si>
    <t xml:space="preserve">Major board decisions this year</t>
  </si>
  <si>
    <t xml:space="preserve">Decisions with a documented public-interest test</t>
  </si>
  <si>
    <t xml:space="preserve">Whistleblower cases received</t>
  </si>
  <si>
    <t xml:space="preserve">Cases closed within 60 days</t>
  </si>
  <si>
    <t xml:space="preserve">Impact-report sections completed</t>
  </si>
  <si>
    <t xml:space="preserve">Community, environment, employment, etc.</t>
  </si>
  <si>
    <t xml:space="preserve">Impact-report sections required</t>
  </si>
  <si>
    <t xml:space="preserve">Public-interest test coverage</t>
  </si>
  <si>
    <t xml:space="preserve">Add a mandatory public-interest box to every board paper.</t>
  </si>
  <si>
    <t xml:space="preserve">Whistleblower closure rate (60 days)</t>
  </si>
  <si>
    <t xml:space="preserve">Resource the Audit &amp; Risk committee to close cases fast; report the ageing monthly.</t>
  </si>
  <si>
    <t xml:space="preserve">Impact reporting completeness</t>
  </si>
  <si>
    <t xml:space="preserve">Assign an owner and a data source to every missing impact-report section.</t>
  </si>
  <si>
    <t xml:space="preserve">5. Human Resources</t>
  </si>
  <si>
    <t xml:space="preserve">Stance: succession depth is the real measure of a tenure. If the organization needs one person, it is fragile.</t>
  </si>
  <si>
    <t xml:space="preserve">Headcount</t>
  </si>
  <si>
    <t xml:space="preserve">people</t>
  </si>
  <si>
    <t xml:space="preserve">Critical roles</t>
  </si>
  <si>
    <t xml:space="preserve">Critical roles with a ready-now successor</t>
  </si>
  <si>
    <t xml:space="preserve">Leavers (annualized)</t>
  </si>
  <si>
    <t xml:space="preserve">Regretted leavers (annualized)</t>
  </si>
  <si>
    <t xml:space="preserve">Leavers the institution wanted to keep</t>
  </si>
  <si>
    <t xml:space="preserve">Average time to fill a vacancy</t>
  </si>
  <si>
    <t xml:space="preserve">Engagement survey score</t>
  </si>
  <si>
    <t xml:space="preserve">Succession coverage</t>
  </si>
  <si>
    <t xml:space="preserve">Name a successor and an emergency backup for every critical role; start rotation plans.</t>
  </si>
  <si>
    <t xml:space="preserve">Attrition rate</t>
  </si>
  <si>
    <t xml:space="preserve">Run stay interviews and fix the top three drivers before offering pay rises.</t>
  </si>
  <si>
    <t xml:space="preserve">Regretted attrition rate</t>
  </si>
  <si>
    <t xml:space="preserve">Review compensation, workload and career paths for the roles being lost.</t>
  </si>
  <si>
    <t xml:space="preserve">Time to fill (days)</t>
  </si>
  <si>
    <t xml:space="preserve">Pre-build talent pools for critical roles and shorten approval chains.</t>
  </si>
  <si>
    <t xml:space="preserve">Engagement score</t>
  </si>
  <si>
    <t xml:space="preserve">Publish survey results and commit to two visible actions this quarter.</t>
  </si>
  <si>
    <t xml:space="preserve">6. Organizational Interest</t>
  </si>
  <si>
    <t xml:space="preserve">Stance: the institution's long-term health outranks any individual, faction or term of office.</t>
  </si>
  <si>
    <t xml:space="preserve">Board members</t>
  </si>
  <si>
    <t xml:space="preserve">Annual conflict-of-interest declarations received</t>
  </si>
  <si>
    <t xml:space="preserve">Related-party transactions this year</t>
  </si>
  <si>
    <t xml:space="preserve">Related-party transactions not reviewed by committee</t>
  </si>
  <si>
    <t xml:space="preserve">Directors beyond their term limit</t>
  </si>
  <si>
    <t xml:space="preserve">Board attendance rate</t>
  </si>
  <si>
    <t xml:space="preserve">Governance documents (bylaws, charters, matrices)</t>
  </si>
  <si>
    <t xml:space="preserve">Governance documents within their review cycle</t>
  </si>
  <si>
    <t xml:space="preserve">Conflict-of-interest declaration completeness</t>
  </si>
  <si>
    <t xml:space="preserve">Collect every missing declaration before the next meeting; refresh at each meeting.</t>
  </si>
  <si>
    <t xml:space="preserve">Related-party transactions reviewed</t>
  </si>
  <si>
    <t xml:space="preserve">Route every related-party transaction through the committee; no retrospective approvals.</t>
  </si>
  <si>
    <t xml:space="preserve">Directors beyond term limit</t>
  </si>
  <si>
    <t xml:space="preserve">Enforce term limits and staggered rotation; plan renewals in advance.</t>
  </si>
  <si>
    <t xml:space="preserve">Board attendance</t>
  </si>
  <si>
    <t xml:space="preserve">Fix the calendar a year ahead; follow up persistent absence through the nominations committee.</t>
  </si>
  <si>
    <t xml:space="preserve">Governance documents in review cycle</t>
  </si>
  <si>
    <t xml:space="preserve">Schedule the overdue document reviews and assign owners.</t>
  </si>
  <si>
    <t xml:space="preserve">7. Payroll</t>
  </si>
  <si>
    <t xml:space="preserve">Stance: payroll is where trust with employees is tested every month. Errors here do more cultural damage than most strategic mistakes.</t>
  </si>
  <si>
    <t xml:space="preserve">Employees paid per run</t>
  </si>
  <si>
    <t xml:space="preserve">Payroll runs per year</t>
  </si>
  <si>
    <t xml:space="preserve">Payslips with errors (per year)</t>
  </si>
  <si>
    <t xml:space="preserve">Off-cycle payments (per year)</t>
  </si>
  <si>
    <t xml:space="preserve">Overrides without prior approval (per year)</t>
  </si>
  <si>
    <t xml:space="preserve">Payroll-to-ledger variance (share of payroll)</t>
  </si>
  <si>
    <t xml:space="preserve">Master-data flags (ghost or duplicate bank accounts)</t>
  </si>
  <si>
    <t xml:space="preserve">From the periodic master-data audit</t>
  </si>
  <si>
    <t xml:space="preserve">Payslip error rate</t>
  </si>
  <si>
    <t xml:space="preserve">Add a pre-run exception report and a second-person check on all pay changes.</t>
  </si>
  <si>
    <t xml:space="preserve">Off-cycle payments per run</t>
  </si>
  <si>
    <t xml:space="preserve">Investigate each off-cycle payment; fix the upstream cut-off or data-entry cause.</t>
  </si>
  <si>
    <t xml:space="preserve">Overrides without prior approval</t>
  </si>
  <si>
    <t xml:space="preserve">Block post-run approvals: no override without sign-off before the run.</t>
  </si>
  <si>
    <t xml:space="preserve">Ledger reconciliation variance</t>
  </si>
  <si>
    <t xml:space="preserve">Reconcile payroll to the general ledger and headcount every month; investigate every variance.</t>
  </si>
  <si>
    <t xml:space="preserve">Master-data flags</t>
  </si>
  <si>
    <t xml:space="preserve">Audit the employee master file for ghost and duplicate accounts; separate data-change and approval duties.</t>
  </si>
  <si>
    <t xml:space="preserve">8. Finance</t>
  </si>
  <si>
    <t xml:space="preserve">Stance: resilience means surviving the bad year, so build for it. Reserves, diversification and stress tests are the discipline.</t>
  </si>
  <si>
    <t xml:space="preserve">Annual revenue</t>
  </si>
  <si>
    <t xml:space="preserve">PKR m</t>
  </si>
  <si>
    <t xml:space="preserve">Illustrative figures; replace with your own</t>
  </si>
  <si>
    <t xml:space="preserve">Budgeted revenue</t>
  </si>
  <si>
    <t xml:space="preserve">Raw-material and input costs</t>
  </si>
  <si>
    <t xml:space="preserve">Other operating costs</t>
  </si>
  <si>
    <t xml:space="preserve">Liquid reserves</t>
  </si>
  <si>
    <t xml:space="preserve">Largest single income source</t>
  </si>
  <si>
    <t xml:space="preserve">Days sales outstanding</t>
  </si>
  <si>
    <t xml:space="preserve">Operating margin</t>
  </si>
  <si>
    <t xml:space="preserve">Re-cost products, review pricing and trim discretionary spend before reserves are touched.</t>
  </si>
  <si>
    <t xml:space="preserve">Reserve coverage (months of operating cost)</t>
  </si>
  <si>
    <t xml:space="preserve">Rebuild reserves to policy; freeze non-essential capital spend until coverage recovers.</t>
  </si>
  <si>
    <t xml:space="preserve">Income concentration (largest source / revenue)</t>
  </si>
  <si>
    <t xml:space="preserve">Diversify income; set a hard cap on any single source.</t>
  </si>
  <si>
    <t xml:space="preserve">Tighten credit terms and escalate overdue receivables weekly.</t>
  </si>
  <si>
    <t xml:space="preserve">Forecast accuracy</t>
  </si>
  <si>
    <t xml:space="preserve">Re-forecast quarterly and always present at least three scenarios.</t>
  </si>
  <si>
    <t xml:space="preserve">9. Audit</t>
  </si>
  <si>
    <t xml:space="preserve">Stance: audit must be independent enough to tell the Chair no. Findings are only worth something if they are closed.</t>
  </si>
  <si>
    <t xml:space="preserve">Audit engagements planned</t>
  </si>
  <si>
    <t xml:space="preserve">Audit engagements completed</t>
  </si>
  <si>
    <t xml:space="preserve">Open findings</t>
  </si>
  <si>
    <t xml:space="preserve">Findings overdue against the agreed date</t>
  </si>
  <si>
    <t xml:space="preserve">Repeat findings</t>
  </si>
  <si>
    <t xml:space="preserve">Findings downgraded after management negotiation</t>
  </si>
  <si>
    <t xml:space="preserve">Years with the current external auditor</t>
  </si>
  <si>
    <t xml:space="preserve">years</t>
  </si>
  <si>
    <t xml:space="preserve">Rotation policy assumed at 5 years</t>
  </si>
  <si>
    <t xml:space="preserve">Audit plan completion</t>
  </si>
  <si>
    <t xml:space="preserve">Protect audit capacity; re-plan on risk, not convenience.</t>
  </si>
  <si>
    <t xml:space="preserve">Overdue share of open findings</t>
  </si>
  <si>
    <t xml:space="preserve">Escalate every overdue finding to the Audit &amp; Risk committee with the owner present.</t>
  </si>
  <si>
    <t xml:space="preserve">Repeat-finding share</t>
  </si>
  <si>
    <t xml:space="preserve">Fix root causes, not symptoms; track repeat findings on the board dashboard.</t>
  </si>
  <si>
    <t xml:space="preserve">Findings downgraded after negotiation</t>
  </si>
  <si>
    <t xml:space="preserve">Require written justification and committee sign-off for any downgrade.</t>
  </si>
  <si>
    <t xml:space="preserve">External auditor tenure (years)</t>
  </si>
  <si>
    <t xml:space="preserve">Run the auditor rotation process before the tenure limit is reached.</t>
  </si>
  <si>
    <t xml:space="preserve">10. Commercials</t>
  </si>
  <si>
    <t xml:space="preserve">Stance: growth that breaks controls is borrowed from the future. Margin, concentration and clean terms come first.</t>
  </si>
  <si>
    <t xml:space="preserve">Annual sales</t>
  </si>
  <si>
    <t xml:space="preserve">Cost of goods sold</t>
  </si>
  <si>
    <t xml:space="preserve">Sales to the largest customer</t>
  </si>
  <si>
    <t xml:space="preserve">Active contracts</t>
  </si>
  <si>
    <t xml:space="preserve">Contracts approved outside standard terms</t>
  </si>
  <si>
    <t xml:space="preserve">Receivables older than 90 days</t>
  </si>
  <si>
    <t xml:space="preserve">Contracts due for renewal</t>
  </si>
  <si>
    <t xml:space="preserve">Contracts renewed</t>
  </si>
  <si>
    <t xml:space="preserve">Gross margin</t>
  </si>
  <si>
    <t xml:space="preserve">Reprice or renegotiate; stop volume deals that dilute margin.</t>
  </si>
  <si>
    <t xml:space="preserve">Largest-customer concentration</t>
  </si>
  <si>
    <t xml:space="preserve">Set an exposure cap and a diversification target for the next 12 months.</t>
  </si>
  <si>
    <t xml:space="preserve">Contracts outside standard terms</t>
  </si>
  <si>
    <t xml:space="preserve">Require written approval for any deviation; escalate verbal commitments.</t>
  </si>
  <si>
    <t xml:space="preserve">Receivables &gt; 90 days (share of sales)</t>
  </si>
  <si>
    <t xml:space="preserve">Escalate the oldest balances; pause new orders for chronic late payers.</t>
  </si>
  <si>
    <t xml:space="preserve">Contract renewal rate</t>
  </si>
  <si>
    <t xml:space="preserve">Start renewal conversations 120 days out; review churn reasons.</t>
  </si>
  <si>
    <t xml:space="preserve">11. Procurement</t>
  </si>
  <si>
    <t xml:space="preserve">Stance: procurement protects both cost and continuity, and supply shocks are now a board-level risk.</t>
  </si>
  <si>
    <t xml:space="preserve">Total annual spend</t>
  </si>
  <si>
    <t xml:space="preserve">Spend with single-source suppliers</t>
  </si>
  <si>
    <t xml:space="preserve">Critical categories</t>
  </si>
  <si>
    <t xml:space="preserve">Critical categories with a documented plan B</t>
  </si>
  <si>
    <t xml:space="preserve">Supplier on-time delivery</t>
  </si>
  <si>
    <t xml:space="preserve">Purchase orders raised</t>
  </si>
  <si>
    <t xml:space="preserve">Emergency purchase orders</t>
  </si>
  <si>
    <t xml:space="preserve">Savings claimed</t>
  </si>
  <si>
    <t xml:space="preserve">Savings verified by Finance</t>
  </si>
  <si>
    <t xml:space="preserve">Commodity-linked spend</t>
  </si>
  <si>
    <t xml:space="preserve">Of which hedged, fixed-price or buffered</t>
  </si>
  <si>
    <t xml:space="preserve">Single-source spend share</t>
  </si>
  <si>
    <t xml:space="preserve">Qualify alternate suppliers for the largest single-source categories first.</t>
  </si>
  <si>
    <t xml:space="preserve">Plan-B coverage of critical categories</t>
  </si>
  <si>
    <t xml:space="preserve">Write and test a plan B for every critical category without one.</t>
  </si>
  <si>
    <t xml:space="preserve">Put chronic late suppliers on a performance plan; buffer stock for critical items.</t>
  </si>
  <si>
    <t xml:space="preserve">Emergency purchase share</t>
  </si>
  <si>
    <t xml:space="preserve">Treat every emergency PO as an incident; fix the planning gap behind it.</t>
  </si>
  <si>
    <t xml:space="preserve">Count only savings Finance has verified against the baseline.</t>
  </si>
  <si>
    <t xml:space="preserve">Unhedged commodity-linked spend (share of total)</t>
  </si>
  <si>
    <t xml:space="preserve">Extend fixed-price, buffer or hedge cover on the largest exposed commodities.</t>
  </si>
  <si>
    <t xml:space="preserve">12. Production</t>
  </si>
  <si>
    <t xml:space="preserve">Stance: production is where strategy becomes product, and where resilience is physical. Safety and quality are board metrics, not afterthoughts.</t>
  </si>
  <si>
    <t xml:space="preserve">Planned output</t>
  </si>
  <si>
    <t xml:space="preserve">units</t>
  </si>
  <si>
    <t xml:space="preserve">In thousands of units</t>
  </si>
  <si>
    <t xml:space="preserve">Actual output</t>
  </si>
  <si>
    <t xml:space="preserve">Planned production hours</t>
  </si>
  <si>
    <t xml:space="preserve">Unplanned downtime</t>
  </si>
  <si>
    <t xml:space="preserve">Defective units</t>
  </si>
  <si>
    <t xml:space="preserve">Lost-time injuries</t>
  </si>
  <si>
    <t xml:space="preserve">Critical spares availability</t>
  </si>
  <si>
    <t xml:space="preserve">Schedule adherence</t>
  </si>
  <si>
    <t xml:space="preserve">Run a daily constraint meeting; link the plan to procurement and finance monthly.</t>
  </si>
  <si>
    <t xml:space="preserve">Unplanned downtime share</t>
  </si>
  <si>
    <t xml:space="preserve">Move from reactive to planned maintenance; review the top five failure causes.</t>
  </si>
  <si>
    <t xml:space="preserve">Defect rate</t>
  </si>
  <si>
    <t xml:space="preserve">Stop-and-fix at source; track defects by cause and by shift.</t>
  </si>
  <si>
    <t xml:space="preserve">Treat every injury as a board-level event; independent safety review within 30 days.</t>
  </si>
  <si>
    <t xml:space="preserve">Stock the critical-spares list and secure alternate suppliers for long-lead items.</t>
  </si>
  <si>
    <t xml:space="preserve">Mock Test: Chair's Judgement Under Pressure</t>
  </si>
  <si>
    <t xml:space="preserve">Part A: 24 questions (two per sector), auto-scored. Part B: predict which sector breaks first under each scenario, then check it against the live Dashboard.</t>
  </si>
  <si>
    <t xml:space="preserve">Reveal answers and explanations?</t>
  </si>
  <si>
    <t xml:space="preserve">No</t>
  </si>
  <si>
    <t xml:space="preserve">Questions answered</t>
  </si>
  <si>
    <t xml:space="preserve">Correct</t>
  </si>
  <si>
    <t xml:space="preserve">Part A score</t>
  </si>
  <si>
    <t xml:space="preserve">Result</t>
  </si>
  <si>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</si>
  <si>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</si>
  <si>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</si>
  <si>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</si>
  <si>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</si>
  <si>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Your answer</t>
  </si>
  <si>
    <t xml:space="preserve">Correct answer</t>
  </si>
  <si>
    <t xml:space="preserve">Why (shown when Reveal = Yes)</t>
  </si>
  <si>
    <t xml:space="preserve">Key</t>
  </si>
  <si>
    <t xml:space="preserve">Expl</t>
  </si>
  <si>
    <t xml:space="preserve">A key regulator relationship depends entirely on one senior person. What is the Chair's best first move?</t>
  </si>
  <si>
    <t xml:space="preserve">Leave it alone; relationships are personal by nature.</t>
  </si>
  <si>
    <t xml:space="preserve">Document the channel and assign a second named institutional contact.</t>
  </si>
  <si>
    <t xml:space="preserve">Replace the person immediately.</t>
  </si>
  <si>
    <t xml:space="preserve">Ask the regulator to deal only with the Chair.</t>
  </si>
  <si>
    <t xml:space="preserve">Relationships belong to the institution. Document the channel and build contact depth before the dependency becomes a risk.</t>
  </si>
  <si>
    <t xml:space="preserve">Who should own the regulatory compliance calendar?</t>
  </si>
  <si>
    <t xml:space="preserve">Audit / compliance, independent of the lobbying function</t>
  </si>
  <si>
    <t xml:space="preserve">The lobbying function, since it knows the regulators best</t>
  </si>
  <si>
    <t xml:space="preserve">The Chair's office</t>
  </si>
  <si>
    <t xml:space="preserve">An external consultant with no internal owner</t>
  </si>
  <si>
    <t xml:space="preserve">Compliance deadlines are control obligations. Ownership sits with Audit or compliance, not with the function that lobbies.</t>
  </si>
  <si>
    <t xml:space="preserve">Frequent exceptions to a policy usually indicate:</t>
  </si>
  <si>
    <t xml:space="preserve">Staff are being efficient</t>
  </si>
  <si>
    <t xml:space="preserve">Strong governance</t>
  </si>
  <si>
    <t xml:space="preserve">The policy is wrong or is being ignored</t>
  </si>
  <si>
    <t xml:space="preserve">Nothing worth tracking</t>
  </si>
  <si>
    <t xml:space="preserve">A high exception rate means the policy no longer fits reality or is not enforced. Rewrite it or enforce it.</t>
  </si>
  <si>
    <t xml:space="preserve">Which set of fields belongs in every policy-register entry?</t>
  </si>
  <si>
    <t xml:space="preserve">Title and author only</t>
  </si>
  <si>
    <t xml:space="preserve">Approval date only</t>
  </si>
  <si>
    <t xml:space="preserve">A list of staff who have read it</t>
  </si>
  <si>
    <t xml:space="preserve">Purpose, scope, owner, exceptions path and review date</t>
  </si>
  <si>
    <t xml:space="preserve">A policy without an owner and review date drifts out of date. Purpose, scope and exceptions make it usable.</t>
  </si>
  <si>
    <t xml:space="preserve">Stakeholders keep hearing major institutional news from outside sources first. This most likely signals:</t>
  </si>
  <si>
    <t xml:space="preserve">Normal media behaviour</t>
  </si>
  <si>
    <t xml:space="preserve">A failed crisis-communication protocol or spokesperson list</t>
  </si>
  <si>
    <t xml:space="preserve">Excellent transparency</t>
  </si>
  <si>
    <t xml:space="preserve">Biased journalists</t>
  </si>
  <si>
    <t xml:space="preserve">The institution should be the first and clearest voice on its own news. Fix the protocol and the authorized spokesperson list.</t>
  </si>
  <si>
    <t xml:space="preserve">Holding statements should be:</t>
  </si>
  <si>
    <t xml:space="preserve">Written after the crisis peaks</t>
  </si>
  <si>
    <t xml:space="preserve">Replaced by the annual report</t>
  </si>
  <si>
    <t xml:space="preserve">Prepared in advance for the likely shocks and pre-approved</t>
  </si>
  <si>
    <t xml:space="preserve">Issued only by lawyers</t>
  </si>
  <si>
    <t xml:space="preserve">Speed matters in the first hours. Pre-approved statements for likely scenarios let you respond before rumours set.</t>
  </si>
  <si>
    <t xml:space="preserve">A member's interest conflicts with the wider public interest. The Chair should:</t>
  </si>
  <si>
    <t xml:space="preserve">Disclose the conflict and decide openly with the reasoning recorded</t>
  </si>
  <si>
    <t xml:space="preserve">Always favour the member</t>
  </si>
  <si>
    <t xml:space="preserve">Resolve it privately and report nothing</t>
  </si>
  <si>
    <t xml:space="preserve">Defer to government automatically</t>
  </si>
  <si>
    <t xml:space="preserve">Legitimacy comes from open, reasoned decisions. Disclosure protects the institution even when the outcome is unpopular.</t>
  </si>
  <si>
    <t xml:space="preserve">Whistleblower channels should reach:</t>
  </si>
  <si>
    <t xml:space="preserve">Only the line manager involved</t>
  </si>
  <si>
    <t xml:space="preserve">The Chair's personal assistant</t>
  </si>
  <si>
    <t xml:space="preserve">The department being complained about</t>
  </si>
  <si>
    <t xml:space="preserve">The Audit &amp; Risk committee directly</t>
  </si>
  <si>
    <t xml:space="preserve">A channel that passes through the people complained about will not be used. Route reports to an independent committee.</t>
  </si>
  <si>
    <t xml:space="preserve">The best single measure of succession depth is:</t>
  </si>
  <si>
    <t xml:space="preserve">Number of CVs received</t>
  </si>
  <si>
    <t xml:space="preserve">Total training hours</t>
  </si>
  <si>
    <t xml:space="preserve">Share of critical roles with a ready-now successor</t>
  </si>
  <si>
    <t xml:space="preserve">Headcount growth</t>
  </si>
  <si>
    <t xml:space="preserve">Succession depth is about readiness for critical roles, not activity or volume.</t>
  </si>
  <si>
    <t xml:space="preserve">Overall attrition is flat but regretted attrition is rising. This suggests:</t>
  </si>
  <si>
    <t xml:space="preserve">Hiring is too slow</t>
  </si>
  <si>
    <t xml:space="preserve">The institution is losing its most valuable people</t>
  </si>
  <si>
    <t xml:space="preserve">Payroll is overpaying</t>
  </si>
  <si>
    <t xml:space="preserve">Nothing; flat is flat</t>
  </si>
  <si>
    <t xml:space="preserve">A flat total can hide the loss of top performers replaced by weaker hires. Track regretted attrition separately.</t>
  </si>
  <si>
    <t xml:space="preserve">Recusal by a conflicted director should be treated as:</t>
  </si>
  <si>
    <t xml:space="preserve">A sign of weakness</t>
  </si>
  <si>
    <t xml:space="preserve">An accusation of wrongdoing</t>
  </si>
  <si>
    <t xml:space="preserve">An optional courtesy</t>
  </si>
  <si>
    <t xml:space="preserve">Routine governance hygiene, not an accusation</t>
  </si>
  <si>
    <t xml:space="preserve">When recusal is routine, nobody is stigmatized and conflicts are declared early.</t>
  </si>
  <si>
    <t xml:space="preserve">A board that votes unanimously on every contested topic is:</t>
  </si>
  <si>
    <t xml:space="preserve">A warning sign that dissent may not feel safe</t>
  </si>
  <si>
    <t xml:space="preserve">Proof of strong alignment</t>
  </si>
  <si>
    <t xml:space="preserve">Required by the bylaws</t>
  </si>
  <si>
    <t xml:space="preserve">Irrelevant to governance quality</t>
  </si>
  <si>
    <t xml:space="preserve">Real debate produces some dissent. Unbroken unanimity suggests people are staying quiet.</t>
  </si>
  <si>
    <t xml:space="preserve">A sound segregation-of-duties rule in payroll is:</t>
  </si>
  <si>
    <t xml:space="preserve">HR changes data and also approves the run</t>
  </si>
  <si>
    <t xml:space="preserve">Whoever changes pay data never approves the payroll run</t>
  </si>
  <si>
    <t xml:space="preserve">The Chair approves every payslip personally</t>
  </si>
  <si>
    <t xml:space="preserve">Payroll staff approve their own overrides</t>
  </si>
  <si>
    <t xml:space="preserve">Separating data change from approval is the core control that prevents error and fraud.</t>
  </si>
  <si>
    <t xml:space="preserve">Which monthly control best catches ghost employees and drift?</t>
  </si>
  <si>
    <t xml:space="preserve">Printing payslips earlier</t>
  </si>
  <si>
    <t xml:space="preserve">Archiving old payroll files</t>
  </si>
  <si>
    <t xml:space="preserve">Rotating the bank account yearly</t>
  </si>
  <si>
    <t xml:space="preserve">Reconciling payroll to the general ledger and to headcount</t>
  </si>
  <si>
    <t xml:space="preserve">Reconciling to both ledger and headcount exposes payments with no matching person or cost.</t>
  </si>
  <si>
    <t xml:space="preserve">The main purpose of a reserve policy is to:</t>
  </si>
  <si>
    <t xml:space="preserve">Maximise distributions</t>
  </si>
  <si>
    <t xml:space="preserve">Reduce audit work</t>
  </si>
  <si>
    <t xml:space="preserve">Survive a bad year without forced decisions</t>
  </si>
  <si>
    <t xml:space="preserve">Lower the tax bill</t>
  </si>
  <si>
    <t xml:space="preserve">Reserves buy time and options in a downturn so the institution is not forced into damaging cuts.</t>
  </si>
  <si>
    <t xml:space="preserve">A budget that shows only one scenario is:</t>
  </si>
  <si>
    <t xml:space="preserve">A red flag; stress-test currency, commodity and demand shocks</t>
  </si>
  <si>
    <t xml:space="preserve">Best practice because it is simple</t>
  </si>
  <si>
    <t xml:space="preserve">Required by regulators</t>
  </si>
  <si>
    <t xml:space="preserve">Evidence of efficiency</t>
  </si>
  <si>
    <t xml:space="preserve">A single-scenario budget assumes the world behaves. Resilience needs at least three scenarios.</t>
  </si>
  <si>
    <t xml:space="preserve">Internal audit should report functionally to:</t>
  </si>
  <si>
    <t xml:space="preserve">The head of Finance</t>
  </si>
  <si>
    <t xml:space="preserve">The head of Procurement</t>
  </si>
  <si>
    <t xml:space="preserve">The department being audited</t>
  </si>
  <si>
    <t xml:space="preserve">The Audit &amp; Risk committee</t>
  </si>
  <si>
    <t xml:space="preserve">Independence requires reporting to a body that is not the subject of the audit.</t>
  </si>
  <si>
    <t xml:space="preserve">Audit findings that are repeatedly negotiated down or left unresolved indicate:</t>
  </si>
  <si>
    <t xml:space="preserve">Healthy collaboration</t>
  </si>
  <si>
    <t xml:space="preserve">A weakness in independence or accountability</t>
  </si>
  <si>
    <t xml:space="preserve">Audit overreach that should be curbed</t>
  </si>
  <si>
    <t xml:space="preserve">A clean control environment</t>
  </si>
  <si>
    <t xml:space="preserve">Findings negotiated away or left open show that the audit function lacks the authority to drive change.</t>
  </si>
  <si>
    <t xml:space="preserve">A major deal is approved verbally outside standard terms. This is:</t>
  </si>
  <si>
    <t xml:space="preserve">Healthy commercial agility</t>
  </si>
  <si>
    <t xml:space="preserve">Fine if the customer is friendly</t>
  </si>
  <si>
    <t xml:space="preserve">A control breach to be escalated and documented</t>
  </si>
  <si>
    <t xml:space="preserve">Acceptable below any value threshold</t>
  </si>
  <si>
    <t xml:space="preserve">Undocumented deviations create disputes and hidden exposure. Escalate and document.</t>
  </si>
  <si>
    <t xml:space="preserve">A customer-concentration cap exists mainly to:</t>
  </si>
  <si>
    <t xml:space="preserve">Limit exposure to the loss of any single customer</t>
  </si>
  <si>
    <t xml:space="preserve">Increase discounts</t>
  </si>
  <si>
    <t xml:space="preserve">Reduce total sales</t>
  </si>
  <si>
    <t xml:space="preserve">Simplify invoicing</t>
  </si>
  <si>
    <t xml:space="preserve">Concentration is a hidden fragility. A cap forces diversification before a single loss becomes a crisis.</t>
  </si>
  <si>
    <t xml:space="preserve">Emergency purchases becoming routine most likely signal:</t>
  </si>
  <si>
    <t xml:space="preserve">Strong agility</t>
  </si>
  <si>
    <t xml:space="preserve">Weak planning or hidden supplier dependency</t>
  </si>
  <si>
    <t xml:space="preserve">Lower prices</t>
  </si>
  <si>
    <t xml:space="preserve">Excellent savings</t>
  </si>
  <si>
    <t xml:space="preserve">Routine emergency buying means planning and supplier cover are failing, and it usually costs more.</t>
  </si>
  <si>
    <t xml:space="preserve">For a critical category with a single source, the Chair should require:</t>
  </si>
  <si>
    <t xml:space="preserve">Nothing; single source is efficient</t>
  </si>
  <si>
    <t xml:space="preserve">An exclusive long-term contract</t>
  </si>
  <si>
    <t xml:space="preserve">A blanket price cut</t>
  </si>
  <si>
    <t xml:space="preserve">A documented plan B or qualified alternate suppliers</t>
  </si>
  <si>
    <t xml:space="preserve">Continuity beats a small price advantage. A tested plan B limits the damage if the sole supplier fails.</t>
  </si>
  <si>
    <t xml:space="preserve">Output targets are met but lost-time injuries are rising. This is:</t>
  </si>
  <si>
    <t xml:space="preserve">Hidden risk; safety and quality need board-level visibility</t>
  </si>
  <si>
    <t xml:space="preserve">A success story</t>
  </si>
  <si>
    <t xml:space="preserve">Proof staff need more targets</t>
  </si>
  <si>
    <t xml:space="preserve">Not a board matter</t>
  </si>
  <si>
    <t xml:space="preserve">Output alone hides the cost. Safety and quality belong on the board dashboard.</t>
  </si>
  <si>
    <t xml:space="preserve">The monthly integrated planning meeting should link production with:</t>
  </si>
  <si>
    <t xml:space="preserve">HR only</t>
  </si>
  <si>
    <t xml:space="preserve">Public Affairs only</t>
  </si>
  <si>
    <t xml:space="preserve">Procurement and Finance</t>
  </si>
  <si>
    <t xml:space="preserve">Audit only</t>
  </si>
  <si>
    <t xml:space="preserve">Production depends on materials and cash. Linking all three prevents surprises.</t>
  </si>
  <si>
    <t xml:space="preserve">PART B: SCENARIO PREDICTION DRILL</t>
  </si>
  <si>
    <t xml:space="preserve">Step 1: pick the sector you expect to turn weakest for each scenario. Step 2: select that scenario on the Control sheet. Step 3: read the live check.</t>
  </si>
  <si>
    <t xml:space="preserve">Your prediction (weakest sector)</t>
  </si>
  <si>
    <t xml:space="preserve">Live check (only for the scenario currently selected on Control)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</si>
</sst>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"/>
    <numFmt numFmtId="167" formatCode="0.0"/>
    <numFmt numFmtId="168" formatCode="General"/>
    <numFmt numFmtId="169" formatCode="#,##0"/>
    <numFmt numFmtId="170" formatCode="#,##0.0"/>
    <numFmt numFmtId="171" formatCode="0.0%"/>
    <numFmt numFmtId="172" formatCode="0.00%"/>
    <numFmt numFmtId="173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Sector resilience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Government Affairs</c:v>
                </c:pt>
                <c:pt idx="1">
                  <c:v>Policy Making</c:v>
                </c:pt>
                <c:pt idx="2">
                  <c:v>Public Affairs</c:v>
                </c:pt>
                <c:pt idx="3">
                  <c:v>Public Interest</c:v>
                </c:pt>
                <c:pt idx="4">
                  <c:v>Human Resources</c:v>
                </c:pt>
                <c:pt idx="5">
                  <c:v>Organizational Interest</c:v>
                </c:pt>
                <c:pt idx="6">
                  <c:v>Payroll</c:v>
                </c:pt>
                <c:pt idx="7">
                  <c:v>Finance</c:v>
                </c:pt>
                <c:pt idx="8">
                  <c:v>Audit</c:v>
                </c:pt>
                <c:pt idx="9">
                  <c:v>Commercials</c:v>
                </c:pt>
                <c:pt idx="10">
                  <c:v>Procurement</c:v>
                </c:pt>
                <c:pt idx="11">
                  <c:v>Production</c:v>
                </c:pt>
              </c:strCache>
            </c:strRef>
          </c:cat>
          <c:val>
            <c:numRef>
              <c:f>Dashboard!$C$11:$C$22</c:f>
              <c:numCache>
                <c:formatCode>0.0</c:formatCode>
                <c:ptCount val="12"/>
                <c:pt idx="0">
                  <c:v>76.1111111111111</c:v>
                </c:pt>
                <c:pt idx="1">
                  <c:v>64.3518518518519</c:v>
                </c:pt>
                <c:pt idx="2">
                  <c:v>80.6666666666667</c:v>
                </c:pt>
                <c:pt idx="3">
                  <c:v>70.4166666666667</c:v>
                </c:pt>
                <c:pt idx="4">
                  <c:v>83.0035528972727</c:v>
                </c:pt>
                <c:pt idx="5">
                  <c:v>72.3995911495912</c:v>
                </c:pt>
                <c:pt idx="6">
                  <c:v>77.5873015873016</c:v>
                </c:pt>
                <c:pt idx="7">
                  <c:v>93.0196078431373</c:v>
                </c:pt>
                <c:pt idx="8">
                  <c:v>72.8571428571429</c:v>
                </c:pt>
                <c:pt idx="9">
                  <c:v>82.752380952381</c:v>
                </c:pt>
                <c:pt idx="10">
                  <c:v>74.6230158730159</c:v>
                </c:pt>
                <c:pt idx="11">
                  <c:v>82.0104405398523</c:v>
                </c:pt>
              </c:numCache>
            </c:numRef>
          </c:val>
        </c:ser>
        <c:gapWidth val="150"/>
        <c:overlap val="0"/>
        <c:axId val="18345624"/>
        <c:axId val="17133330"/>
      </c:barChart>
      <c:catAx>
        <c:axId val="18345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33330"/>
        <c:crosses val="autoZero"/>
        <c:auto val="1"/>
        <c:lblAlgn val="ctr"/>
        <c:lblOffset val="100"/>
        <c:noMultiLvlLbl val="0"/>
      </c:catAx>
      <c:valAx>
        <c:axId val="17133330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45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Government Affairs: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GovAffairs!F15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GovAffairs!$A$16:$A$19</c:f>
              <c:strCache>
                <c:ptCount val="4"/>
                <c:pt idx="0">
                  <c:v>On-time filing rate</c:v>
                </c:pt>
                <c:pt idx="1">
                  <c:v>Average age of open queries (days)</c:v>
                </c:pt>
                <c:pt idx="2">
                  <c:v>Open regulatory queries</c:v>
                </c:pt>
                <c:pt idx="3">
                  <c:v>Institutional contact depth</c:v>
                </c:pt>
              </c:strCache>
            </c:strRef>
          </c:cat>
          <c:val>
            <c:numRef>
              <c:f>GovAffairs!$F$16:$F$19</c:f>
              <c:numCache>
                <c:formatCode>0</c:formatCode>
                <c:ptCount val="4"/>
                <c:pt idx="0">
                  <c:v>87.9629629629629</c:v>
                </c:pt>
                <c:pt idx="1">
                  <c:v>76.6666666666667</c:v>
                </c:pt>
                <c:pt idx="2">
                  <c:v>66.6666666666667</c:v>
                </c:pt>
                <c:pt idx="3">
                  <c:v>62.5</c:v>
                </c:pt>
              </c:numCache>
            </c:numRef>
          </c:val>
        </c:ser>
        <c:gapWidth val="150"/>
        <c:overlap val="0"/>
        <c:axId val="68785783"/>
        <c:axId val="97501861"/>
      </c:barChart>
      <c:catAx>
        <c:axId val="68785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01861"/>
        <c:crosses val="autoZero"/>
        <c:auto val="1"/>
        <c:lblAlgn val="ctr"/>
        <c:lblOffset val="100"/>
        <c:noMultiLvlLbl val="0"/>
      </c:catAx>
      <c:valAx>
        <c:axId val="97501861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85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Policy Making: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Policy!F14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Policy!$A$15:$A$18</c:f>
              <c:strCache>
                <c:ptCount val="4"/>
                <c:pt idx="0">
                  <c:v>Policies in date</c:v>
                </c:pt>
                <c:pt idx="1">
                  <c:v>Exception rate (exceptions / policies)</c:v>
                </c:pt>
                <c:pt idx="2">
                  <c:v>Ownership coverage</c:v>
                </c:pt>
                <c:pt idx="3">
                  <c:v>Breaches per 100 policies</c:v>
                </c:pt>
              </c:strCache>
            </c:strRef>
          </c:cat>
          <c:val>
            <c:numRef>
              <c:f>Policy!$F$15:$F$18</c:f>
              <c:numCache>
                <c:formatCode>0</c:formatCode>
                <c:ptCount val="4"/>
                <c:pt idx="0">
                  <c:v>75</c:v>
                </c:pt>
                <c:pt idx="1">
                  <c:v>50</c:v>
                </c:pt>
                <c:pt idx="2">
                  <c:v>66.6666666666666</c:v>
                </c:pt>
                <c:pt idx="3">
                  <c:v>69.4444444444444</c:v>
                </c:pt>
              </c:numCache>
            </c:numRef>
          </c:val>
        </c:ser>
        <c:gapWidth val="150"/>
        <c:overlap val="0"/>
        <c:axId val="8415803"/>
        <c:axId val="86120282"/>
      </c:barChart>
      <c:catAx>
        <c:axId val="8415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20282"/>
        <c:crosses val="autoZero"/>
        <c:auto val="1"/>
        <c:lblAlgn val="ctr"/>
        <c:lblOffset val="100"/>
        <c:noMultiLvlLbl val="0"/>
      </c:catAx>
      <c:valAx>
        <c:axId val="86120282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58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Public Affairs: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PublicAffairs!F14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PublicAffairs!$A$15:$A$18</c:f>
              <c:strCache>
                <c:ptCount val="4"/>
                <c:pt idx="0">
                  <c:v>Response time to issues (hours)</c:v>
                </c:pt>
                <c:pt idx="1">
                  <c:v>Stakeholder trust score</c:v>
                </c:pt>
                <c:pt idx="2">
                  <c:v>Holding-statement coverage</c:v>
                </c:pt>
                <c:pt idx="3">
                  <c:v>Reputation incidents</c:v>
                </c:pt>
              </c:strCache>
            </c:strRef>
          </c:cat>
          <c:val>
            <c:numRef>
              <c:f>PublicAffairs!$F$15:$F$18</c:f>
              <c:numCache>
                <c:formatCode>0</c:formatCode>
                <c:ptCount val="4"/>
                <c:pt idx="0">
                  <c:v>90</c:v>
                </c:pt>
                <c:pt idx="1">
                  <c:v>92</c:v>
                </c:pt>
                <c:pt idx="2">
                  <c:v>60</c:v>
                </c:pt>
                <c:pt idx="3">
                  <c:v>60</c:v>
                </c:pt>
              </c:numCache>
            </c:numRef>
          </c:val>
        </c:ser>
        <c:gapWidth val="150"/>
        <c:overlap val="0"/>
        <c:axId val="49579284"/>
        <c:axId val="93259296"/>
      </c:barChart>
      <c:catAx>
        <c:axId val="495792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59296"/>
        <c:crosses val="autoZero"/>
        <c:auto val="1"/>
        <c:lblAlgn val="ctr"/>
        <c:lblOffset val="100"/>
        <c:noMultiLvlLbl val="0"/>
      </c:catAx>
      <c:valAx>
        <c:axId val="93259296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792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Public Interest: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PublicInterest!F15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PublicInterest!$A$16:$A$18</c:f>
              <c:strCache>
                <c:ptCount val="3"/>
                <c:pt idx="0">
                  <c:v>Public-interest test coverage</c:v>
                </c:pt>
                <c:pt idx="1">
                  <c:v>Whistleblower closure rate (60 days)</c:v>
                </c:pt>
                <c:pt idx="2">
                  <c:v>Impact reporting completeness</c:v>
                </c:pt>
              </c:strCache>
            </c:strRef>
          </c:cat>
          <c:val>
            <c:numRef>
              <c:f>PublicInterest!$F$16:$F$18</c:f>
              <c:numCache>
                <c:formatCode>0</c:formatCode>
                <c:ptCount val="3"/>
                <c:pt idx="0">
                  <c:v>66.6666666666667</c:v>
                </c:pt>
                <c:pt idx="1">
                  <c:v>75</c:v>
                </c:pt>
                <c:pt idx="2">
                  <c:v>68.75</c:v>
                </c:pt>
              </c:numCache>
            </c:numRef>
          </c:val>
        </c:ser>
        <c:gapWidth val="150"/>
        <c:overlap val="0"/>
        <c:axId val="61473452"/>
        <c:axId val="50914806"/>
      </c:barChart>
      <c:catAx>
        <c:axId val="61473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14806"/>
        <c:crosses val="autoZero"/>
        <c:auto val="1"/>
        <c:lblAlgn val="ctr"/>
        <c:lblOffset val="100"/>
        <c:noMultiLvlLbl val="0"/>
      </c:catAx>
      <c:valAx>
        <c:axId val="50914806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73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Human Resources: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HR!F16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HR!$A$17:$A$21</c:f>
              <c:strCache>
                <c:ptCount val="5"/>
                <c:pt idx="0">
                  <c:v>Succession coverage</c:v>
                </c:pt>
                <c:pt idx="1">
                  <c:v>Attrition rate</c:v>
                </c:pt>
                <c:pt idx="2">
                  <c:v>Regretted attrition rate</c:v>
                </c:pt>
                <c:pt idx="3">
                  <c:v>Time to fill (days)</c:v>
                </c:pt>
                <c:pt idx="4">
                  <c:v>Engagement score</c:v>
                </c:pt>
              </c:strCache>
            </c:strRef>
          </c:cat>
          <c:val>
            <c:numRef>
              <c:f>HR!$F$17:$F$21</c:f>
              <c:numCache>
                <c:formatCode>0</c:formatCode>
                <c:ptCount val="5"/>
                <c:pt idx="0">
                  <c:v>66.6666666666667</c:v>
                </c:pt>
                <c:pt idx="1">
                  <c:v>99.2063492063492</c:v>
                </c:pt>
                <c:pt idx="2">
                  <c:v>91.005291005291</c:v>
                </c:pt>
                <c:pt idx="3">
                  <c:v>84</c:v>
                </c:pt>
                <c:pt idx="4">
                  <c:v>82.6086956521739</c:v>
                </c:pt>
              </c:numCache>
            </c:numRef>
          </c:val>
        </c:ser>
        <c:gapWidth val="150"/>
        <c:overlap val="0"/>
        <c:axId val="48756601"/>
        <c:axId val="29781774"/>
      </c:barChart>
      <c:catAx>
        <c:axId val="48756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81774"/>
        <c:crosses val="autoZero"/>
        <c:auto val="1"/>
        <c:lblAlgn val="ctr"/>
        <c:lblOffset val="100"/>
        <c:noMultiLvlLbl val="0"/>
      </c:catAx>
      <c:valAx>
        <c:axId val="2978177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566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Organizational Interest: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OrgInterest!F17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OrgInterest!$A$18:$A$22</c:f>
              <c:strCache>
                <c:ptCount val="5"/>
                <c:pt idx="0">
                  <c:v>Conflict-of-interest declaration completeness</c:v>
                </c:pt>
                <c:pt idx="1">
                  <c:v>Related-party transactions reviewed</c:v>
                </c:pt>
                <c:pt idx="2">
                  <c:v>Directors beyond term limit</c:v>
                </c:pt>
                <c:pt idx="3">
                  <c:v>Board attendance</c:v>
                </c:pt>
                <c:pt idx="4">
                  <c:v>Governance documents in review cycle</c:v>
                </c:pt>
              </c:strCache>
            </c:strRef>
          </c:cat>
          <c:val>
            <c:numRef>
              <c:f>OrgInterest!$F$18:$F$22</c:f>
              <c:numCache>
                <c:formatCode>0</c:formatCode>
                <c:ptCount val="5"/>
                <c:pt idx="0">
                  <c:v>100</c:v>
                </c:pt>
                <c:pt idx="1">
                  <c:v>52.3809523809524</c:v>
                </c:pt>
                <c:pt idx="2">
                  <c:v>63.6363636363636</c:v>
                </c:pt>
                <c:pt idx="3">
                  <c:v>95.4545454545455</c:v>
                </c:pt>
                <c:pt idx="4">
                  <c:v>62.962962962963</c:v>
                </c:pt>
              </c:numCache>
            </c:numRef>
          </c:val>
        </c:ser>
        <c:gapWidth val="150"/>
        <c:overlap val="0"/>
        <c:axId val="85849582"/>
        <c:axId val="6803477"/>
      </c:barChart>
      <c:catAx>
        <c:axId val="85849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3477"/>
        <c:crosses val="autoZero"/>
        <c:auto val="1"/>
        <c:lblAlgn val="ctr"/>
        <c:lblOffset val="100"/>
        <c:noMultiLvlLbl val="0"/>
      </c:catAx>
      <c:valAx>
        <c:axId val="6803477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49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Payroll: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Payroll!F16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Payroll!$A$17:$A$21</c:f>
              <c:strCache>
                <c:ptCount val="5"/>
                <c:pt idx="0">
                  <c:v>Payslip error rate</c:v>
                </c:pt>
                <c:pt idx="1">
                  <c:v>Off-cycle payments per run</c:v>
                </c:pt>
                <c:pt idx="2">
                  <c:v>Overrides without prior approval</c:v>
                </c:pt>
                <c:pt idx="3">
                  <c:v>Ledger reconciliation variance</c:v>
                </c:pt>
                <c:pt idx="4">
                  <c:v>Master-data flags</c:v>
                </c:pt>
              </c:strCache>
            </c:strRef>
          </c:cat>
          <c:val>
            <c:numRef>
              <c:f>Payroll!$F$17:$F$21</c:f>
              <c:numCache>
                <c:formatCode>0</c:formatCode>
                <c:ptCount val="5"/>
                <c:pt idx="0">
                  <c:v>81.9047619047619</c:v>
                </c:pt>
                <c:pt idx="1">
                  <c:v>85.7142857142857</c:v>
                </c:pt>
                <c:pt idx="2">
                  <c:v>66.6666666666667</c:v>
                </c:pt>
                <c:pt idx="3">
                  <c:v>88.8888888888889</c:v>
                </c:pt>
                <c:pt idx="4">
                  <c:v>66.6666666666667</c:v>
                </c:pt>
              </c:numCache>
            </c:numRef>
          </c:val>
        </c:ser>
        <c:gapWidth val="150"/>
        <c:overlap val="0"/>
        <c:axId val="60629243"/>
        <c:axId val="90450005"/>
      </c:barChart>
      <c:catAx>
        <c:axId val="60629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50005"/>
        <c:crosses val="autoZero"/>
        <c:auto val="1"/>
        <c:lblAlgn val="ctr"/>
        <c:lblOffset val="100"/>
        <c:noMultiLvlLbl val="0"/>
      </c:catAx>
      <c:valAx>
        <c:axId val="90450005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292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Finance: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Finance!F16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Finance!$A$17:$A$21</c:f>
              <c:strCache>
                <c:ptCount val="5"/>
                <c:pt idx="0">
                  <c:v>Operating margin</c:v>
                </c:pt>
                <c:pt idx="1">
                  <c:v>Reserve coverage (months of operating cost)</c:v>
                </c:pt>
                <c:pt idx="2">
                  <c:v>Income concentration (largest source / revenue)</c:v>
                </c:pt>
                <c:pt idx="3">
                  <c:v>Days sales outstanding</c:v>
                </c:pt>
                <c:pt idx="4">
                  <c:v>Forecast accuracy</c:v>
                </c:pt>
              </c:strCache>
            </c:strRef>
          </c:cat>
          <c:val>
            <c:numRef>
              <c:f>Finance!$F$17:$F$21</c:f>
              <c:numCache>
                <c:formatCode>0</c:formatCode>
                <c:ptCount val="5"/>
                <c:pt idx="0">
                  <c:v>100</c:v>
                </c:pt>
                <c:pt idx="1">
                  <c:v>91.1764705882353</c:v>
                </c:pt>
                <c:pt idx="2">
                  <c:v>90</c:v>
                </c:pt>
                <c:pt idx="3">
                  <c:v>76.6666666666667</c:v>
                </c:pt>
                <c:pt idx="4">
                  <c:v>100</c:v>
                </c:pt>
              </c:numCache>
            </c:numRef>
          </c:val>
        </c:ser>
        <c:gapWidth val="150"/>
        <c:overlap val="0"/>
        <c:axId val="21769430"/>
        <c:axId val="5990903"/>
      </c:barChart>
      <c:catAx>
        <c:axId val="217694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0903"/>
        <c:crosses val="autoZero"/>
        <c:auto val="1"/>
        <c:lblAlgn val="ctr"/>
        <c:lblOffset val="100"/>
        <c:noMultiLvlLbl val="0"/>
      </c:catAx>
      <c:valAx>
        <c:axId val="599090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694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Audit: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Audit!F16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Audit!$A$17:$A$21</c:f>
              <c:strCache>
                <c:ptCount val="5"/>
                <c:pt idx="0">
                  <c:v>Audit plan completion</c:v>
                </c:pt>
                <c:pt idx="1">
                  <c:v>Overdue share of open findings</c:v>
                </c:pt>
                <c:pt idx="2">
                  <c:v>Repeat-finding share</c:v>
                </c:pt>
                <c:pt idx="3">
                  <c:v>Findings downgraded after negotiation</c:v>
                </c:pt>
                <c:pt idx="4">
                  <c:v>External auditor tenure (years)</c:v>
                </c:pt>
              </c:strCache>
            </c:strRef>
          </c:cat>
          <c:val>
            <c:numRef>
              <c:f>Audit!$F$17:$F$21</c:f>
              <c:numCache>
                <c:formatCode>0</c:formatCode>
                <c:ptCount val="5"/>
                <c:pt idx="0">
                  <c:v>75</c:v>
                </c:pt>
                <c:pt idx="1">
                  <c:v>61.9047619047619</c:v>
                </c:pt>
                <c:pt idx="2">
                  <c:v>71.4285714285714</c:v>
                </c:pt>
                <c:pt idx="3">
                  <c:v>75</c:v>
                </c:pt>
                <c:pt idx="4">
                  <c:v>100</c:v>
                </c:pt>
              </c:numCache>
            </c:numRef>
          </c:val>
        </c:ser>
        <c:gapWidth val="150"/>
        <c:overlap val="0"/>
        <c:axId val="31122607"/>
        <c:axId val="23154117"/>
      </c:barChart>
      <c:catAx>
        <c:axId val="3112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54117"/>
        <c:crosses val="autoZero"/>
        <c:auto val="1"/>
        <c:lblAlgn val="ctr"/>
        <c:lblOffset val="100"/>
        <c:noMultiLvlLbl val="0"/>
      </c:catAx>
      <c:valAx>
        <c:axId val="23154117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22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Commercials: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Commercials!F17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Commercials!$A$18:$A$22</c:f>
              <c:strCache>
                <c:ptCount val="5"/>
                <c:pt idx="0">
                  <c:v>Gross margin</c:v>
                </c:pt>
                <c:pt idx="1">
                  <c:v>Largest-customer concentration</c:v>
                </c:pt>
                <c:pt idx="2">
                  <c:v>Contracts outside standard terms</c:v>
                </c:pt>
                <c:pt idx="3">
                  <c:v>Receivables &gt; 90 days (share of sales)</c:v>
                </c:pt>
                <c:pt idx="4">
                  <c:v>Contract renewal rate</c:v>
                </c:pt>
              </c:strCache>
            </c:strRef>
          </c:cat>
          <c:val>
            <c:numRef>
              <c:f>Commercials!$F$18:$F$22</c:f>
              <c:numCache>
                <c:formatCode>0</c:formatCode>
                <c:ptCount val="5"/>
                <c:pt idx="0">
                  <c:v>93.3333333333333</c:v>
                </c:pt>
                <c:pt idx="1">
                  <c:v>93.3333333333333</c:v>
                </c:pt>
                <c:pt idx="2">
                  <c:v>75</c:v>
                </c:pt>
                <c:pt idx="3">
                  <c:v>71.4285714285714</c:v>
                </c:pt>
                <c:pt idx="4">
                  <c:v>68</c:v>
                </c:pt>
              </c:numCache>
            </c:numRef>
          </c:val>
        </c:ser>
        <c:gapWidth val="150"/>
        <c:overlap val="0"/>
        <c:axId val="65736487"/>
        <c:axId val="90237781"/>
      </c:barChart>
      <c:catAx>
        <c:axId val="65736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37781"/>
        <c:crosses val="autoZero"/>
        <c:auto val="1"/>
        <c:lblAlgn val="ctr"/>
        <c:lblOffset val="100"/>
        <c:noMultiLvlLbl val="0"/>
      </c:catAx>
      <c:valAx>
        <c:axId val="90237781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364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Procurement: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Procurement!F20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Procurement!$A$21:$A$26</c:f>
              <c:strCache>
                <c:ptCount val="6"/>
                <c:pt idx="0">
                  <c:v>Single-source spend share</c:v>
                </c:pt>
                <c:pt idx="1">
                  <c:v>Plan-B coverage of critical categories</c:v>
                </c:pt>
                <c:pt idx="2">
                  <c:v>Supplier on-time delivery</c:v>
                </c:pt>
                <c:pt idx="3">
                  <c:v>Emergency purchase share</c:v>
                </c:pt>
                <c:pt idx="4">
                  <c:v>Savings verified by Finance</c:v>
                </c:pt>
                <c:pt idx="5">
                  <c:v>Unhedged commodity-linked spend (share of total)</c:v>
                </c:pt>
              </c:strCache>
            </c:strRef>
          </c:cat>
          <c:val>
            <c:numRef>
              <c:f>Procurement!$F$21:$F$26</c:f>
              <c:numCache>
                <c:formatCode>0</c:formatCode>
                <c:ptCount val="6"/>
                <c:pt idx="0">
                  <c:v>60</c:v>
                </c:pt>
                <c:pt idx="1">
                  <c:v>53.5714285714286</c:v>
                </c:pt>
                <c:pt idx="2">
                  <c:v>80</c:v>
                </c:pt>
                <c:pt idx="3">
                  <c:v>87.5</c:v>
                </c:pt>
                <c:pt idx="4">
                  <c:v>66.6666666666667</c:v>
                </c:pt>
                <c:pt idx="5">
                  <c:v>93.3333333333333</c:v>
                </c:pt>
              </c:numCache>
            </c:numRef>
          </c:val>
        </c:ser>
        <c:gapWidth val="150"/>
        <c:overlap val="0"/>
        <c:axId val="52384827"/>
        <c:axId val="75623843"/>
      </c:barChart>
      <c:catAx>
        <c:axId val="523848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23843"/>
        <c:crosses val="autoZero"/>
        <c:auto val="1"/>
        <c:lblAlgn val="ctr"/>
        <c:lblOffset val="100"/>
        <c:noMultiLvlLbl val="0"/>
      </c:catAx>
      <c:valAx>
        <c:axId val="7562384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848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Production: KPI scores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Production!F16</c:f>
              <c:strCache>
                <c:ptCount val="1"/>
                <c:pt idx="0">
                  <c:v>Score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Production!$A$17:$A$21</c:f>
              <c:strCache>
                <c:ptCount val="5"/>
                <c:pt idx="0">
                  <c:v>Schedule adherence</c:v>
                </c:pt>
                <c:pt idx="1">
                  <c:v>Unplanned downtime share</c:v>
                </c:pt>
                <c:pt idx="2">
                  <c:v>Defect rate</c:v>
                </c:pt>
                <c:pt idx="3">
                  <c:v>Lost-time injuries</c:v>
                </c:pt>
                <c:pt idx="4">
                  <c:v>Critical spares availability</c:v>
                </c:pt>
              </c:strCache>
            </c:strRef>
          </c:cat>
          <c:val>
            <c:numRef>
              <c:f>Production!$F$17:$F$21</c:f>
              <c:numCache>
                <c:formatCode>0</c:formatCode>
                <c:ptCount val="5"/>
                <c:pt idx="0">
                  <c:v>94.1176470588235</c:v>
                </c:pt>
                <c:pt idx="1">
                  <c:v>85.7142857142857</c:v>
                </c:pt>
                <c:pt idx="2">
                  <c:v>91.6666666666667</c:v>
                </c:pt>
                <c:pt idx="3">
                  <c:v>60</c:v>
                </c:pt>
                <c:pt idx="4">
                  <c:v>85</c:v>
                </c:pt>
              </c:numCache>
            </c:numRef>
          </c:val>
        </c:ser>
        <c:gapWidth val="150"/>
        <c:overlap val="0"/>
        <c:axId val="82330152"/>
        <c:axId val="68779167"/>
      </c:barChart>
      <c:catAx>
        <c:axId val="8233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79167"/>
        <c:crosses val="autoZero"/>
        <c:auto val="1"/>
        <c:lblAlgn val="ctr"/>
        <c:lblOffset val="100"/>
        <c:noMultiLvlLbl val="0"/>
      </c:catAx>
      <c:valAx>
        <c:axId val="68779167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301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100800</xdr:rowOff>
    </xdr:from>
    <xdr:to>
      <xdr:col>5</xdr:col>
      <xdr:colOff>2154960</xdr:colOff>
      <xdr:row>42</xdr:row>
      <xdr:rowOff>81000</xdr:rowOff>
    </xdr:to>
    <xdr:graphicFrame>
      <xdr:nvGraphicFramePr>
        <xdr:cNvPr id="0" name="Chart 1"/>
        <xdr:cNvGraphicFramePr/>
      </xdr:nvGraphicFramePr>
      <xdr:xfrm>
        <a:off x="352440" y="72388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160560</xdr:rowOff>
    </xdr:from>
    <xdr:to>
      <xdr:col>5</xdr:col>
      <xdr:colOff>448200</xdr:colOff>
      <xdr:row>40</xdr:row>
      <xdr:rowOff>182880</xdr:rowOff>
    </xdr:to>
    <xdr:graphicFrame>
      <xdr:nvGraphicFramePr>
        <xdr:cNvPr id="1" name="Chart 1"/>
        <xdr:cNvGraphicFramePr/>
      </xdr:nvGraphicFramePr>
      <xdr:xfrm>
        <a:off x="0" y="63817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160560</xdr:rowOff>
    </xdr:from>
    <xdr:to>
      <xdr:col>5</xdr:col>
      <xdr:colOff>448200</xdr:colOff>
      <xdr:row>39</xdr:row>
      <xdr:rowOff>182880</xdr:rowOff>
    </xdr:to>
    <xdr:graphicFrame>
      <xdr:nvGraphicFramePr>
        <xdr:cNvPr id="2" name="Chart 1"/>
        <xdr:cNvGraphicFramePr/>
      </xdr:nvGraphicFramePr>
      <xdr:xfrm>
        <a:off x="0" y="61912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160560</xdr:rowOff>
    </xdr:from>
    <xdr:to>
      <xdr:col>5</xdr:col>
      <xdr:colOff>448200</xdr:colOff>
      <xdr:row>39</xdr:row>
      <xdr:rowOff>182880</xdr:rowOff>
    </xdr:to>
    <xdr:graphicFrame>
      <xdr:nvGraphicFramePr>
        <xdr:cNvPr id="3" name="Chart 1"/>
        <xdr:cNvGraphicFramePr/>
      </xdr:nvGraphicFramePr>
      <xdr:xfrm>
        <a:off x="0" y="61912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160560</xdr:rowOff>
    </xdr:from>
    <xdr:to>
      <xdr:col>5</xdr:col>
      <xdr:colOff>448200</xdr:colOff>
      <xdr:row>39</xdr:row>
      <xdr:rowOff>182880</xdr:rowOff>
    </xdr:to>
    <xdr:graphicFrame>
      <xdr:nvGraphicFramePr>
        <xdr:cNvPr id="4" name="Chart 1"/>
        <xdr:cNvGraphicFramePr/>
      </xdr:nvGraphicFramePr>
      <xdr:xfrm>
        <a:off x="0" y="60292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160560</xdr:rowOff>
    </xdr:from>
    <xdr:to>
      <xdr:col>5</xdr:col>
      <xdr:colOff>448200</xdr:colOff>
      <xdr:row>42</xdr:row>
      <xdr:rowOff>182880</xdr:rowOff>
    </xdr:to>
    <xdr:graphicFrame>
      <xdr:nvGraphicFramePr>
        <xdr:cNvPr id="5" name="Chart 1"/>
        <xdr:cNvGraphicFramePr/>
      </xdr:nvGraphicFramePr>
      <xdr:xfrm>
        <a:off x="0" y="69246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160560</xdr:rowOff>
    </xdr:from>
    <xdr:to>
      <xdr:col>5</xdr:col>
      <xdr:colOff>448200</xdr:colOff>
      <xdr:row>43</xdr:row>
      <xdr:rowOff>182520</xdr:rowOff>
    </xdr:to>
    <xdr:graphicFrame>
      <xdr:nvGraphicFramePr>
        <xdr:cNvPr id="6" name="Chart 1"/>
        <xdr:cNvGraphicFramePr/>
      </xdr:nvGraphicFramePr>
      <xdr:xfrm>
        <a:off x="0" y="71150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160560</xdr:rowOff>
    </xdr:from>
    <xdr:to>
      <xdr:col>5</xdr:col>
      <xdr:colOff>448200</xdr:colOff>
      <xdr:row>42</xdr:row>
      <xdr:rowOff>182880</xdr:rowOff>
    </xdr:to>
    <xdr:graphicFrame>
      <xdr:nvGraphicFramePr>
        <xdr:cNvPr id="7" name="Chart 1"/>
        <xdr:cNvGraphicFramePr/>
      </xdr:nvGraphicFramePr>
      <xdr:xfrm>
        <a:off x="0" y="69246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160560</xdr:rowOff>
    </xdr:from>
    <xdr:to>
      <xdr:col>5</xdr:col>
      <xdr:colOff>448200</xdr:colOff>
      <xdr:row>42</xdr:row>
      <xdr:rowOff>182880</xdr:rowOff>
    </xdr:to>
    <xdr:graphicFrame>
      <xdr:nvGraphicFramePr>
        <xdr:cNvPr id="8" name="Chart 1"/>
        <xdr:cNvGraphicFramePr/>
      </xdr:nvGraphicFramePr>
      <xdr:xfrm>
        <a:off x="0" y="69246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160560</xdr:rowOff>
    </xdr:from>
    <xdr:to>
      <xdr:col>5</xdr:col>
      <xdr:colOff>448200</xdr:colOff>
      <xdr:row>42</xdr:row>
      <xdr:rowOff>182880</xdr:rowOff>
    </xdr:to>
    <xdr:graphicFrame>
      <xdr:nvGraphicFramePr>
        <xdr:cNvPr id="9" name="Chart 1"/>
        <xdr:cNvGraphicFramePr/>
      </xdr:nvGraphicFramePr>
      <xdr:xfrm>
        <a:off x="0" y="69246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160560</xdr:rowOff>
    </xdr:from>
    <xdr:to>
      <xdr:col>5</xdr:col>
      <xdr:colOff>448200</xdr:colOff>
      <xdr:row>43</xdr:row>
      <xdr:rowOff>182520</xdr:rowOff>
    </xdr:to>
    <xdr:graphicFrame>
      <xdr:nvGraphicFramePr>
        <xdr:cNvPr id="10" name="Chart 1"/>
        <xdr:cNvGraphicFramePr/>
      </xdr:nvGraphicFramePr>
      <xdr:xfrm>
        <a:off x="0" y="71150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160560</xdr:rowOff>
    </xdr:from>
    <xdr:to>
      <xdr:col>5</xdr:col>
      <xdr:colOff>448200</xdr:colOff>
      <xdr:row>47</xdr:row>
      <xdr:rowOff>182880</xdr:rowOff>
    </xdr:to>
    <xdr:graphicFrame>
      <xdr:nvGraphicFramePr>
        <xdr:cNvPr id="11" name="Chart 1"/>
        <xdr:cNvGraphicFramePr/>
      </xdr:nvGraphicFramePr>
      <xdr:xfrm>
        <a:off x="0" y="80391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160560</xdr:rowOff>
    </xdr:from>
    <xdr:to>
      <xdr:col>5</xdr:col>
      <xdr:colOff>448200</xdr:colOff>
      <xdr:row>42</xdr:row>
      <xdr:rowOff>182880</xdr:rowOff>
    </xdr:to>
    <xdr:graphicFrame>
      <xdr:nvGraphicFramePr>
        <xdr:cNvPr id="12" name="Chart 1"/>
        <xdr:cNvGraphicFramePr/>
      </xdr:nvGraphicFramePr>
      <xdr:xfrm>
        <a:off x="0" y="69246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1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45.75" hidden="false" customHeight="true" outlineLevel="0" collapsed="false">
      <c r="B4" s="3" t="s">
        <v>2</v>
      </c>
      <c r="C4" s="4" t="s">
        <v>3</v>
      </c>
    </row>
    <row r="5" customFormat="false" ht="45.75" hidden="false" customHeight="true" outlineLevel="0" collapsed="false">
      <c r="B5" s="3" t="s">
        <v>4</v>
      </c>
      <c r="C5" s="4" t="s">
        <v>5</v>
      </c>
    </row>
    <row r="6" customFormat="false" ht="45.75" hidden="false" customHeight="true" outlineLevel="0" collapsed="false">
      <c r="B6" s="3" t="s">
        <v>6</v>
      </c>
      <c r="C6" s="4" t="s">
        <v>7</v>
      </c>
    </row>
    <row r="7" customFormat="false" ht="45.75" hidden="false" customHeight="true" outlineLevel="0" collapsed="false">
      <c r="B7" s="3" t="s">
        <v>8</v>
      </c>
      <c r="C7" s="4" t="s">
        <v>9</v>
      </c>
    </row>
    <row r="8" customFormat="false" ht="45.75" hidden="false" customHeight="true" outlineLevel="0" collapsed="false">
      <c r="B8" s="3" t="s">
        <v>10</v>
      </c>
      <c r="C8" s="4" t="s">
        <v>11</v>
      </c>
    </row>
    <row r="9" customFormat="false" ht="45.75" hidden="false" customHeight="true" outlineLevel="0" collapsed="false">
      <c r="B9" s="3" t="s">
        <v>12</v>
      </c>
      <c r="C9" s="4" t="s">
        <v>13</v>
      </c>
    </row>
    <row r="10" customFormat="false" ht="45.75" hidden="false" customHeight="true" outlineLevel="0" collapsed="false">
      <c r="B10" s="3" t="s">
        <v>14</v>
      </c>
      <c r="C10" s="4" t="s">
        <v>15</v>
      </c>
    </row>
    <row r="11" customFormat="false" ht="45.75" hidden="false" customHeight="true" outlineLevel="0" collapsed="false">
      <c r="B11" s="3" t="s">
        <v>16</v>
      </c>
      <c r="C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78"/>
  </cols>
  <sheetData>
    <row r="1" customFormat="false" ht="17.35" hidden="false" customHeight="false" outlineLevel="0" collapsed="false">
      <c r="A1" s="5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6" t="s">
        <v>20</v>
      </c>
      <c r="B4" s="7" t="s">
        <v>21</v>
      </c>
      <c r="C4" s="7"/>
      <c r="D4" s="7"/>
    </row>
    <row r="6" customFormat="false" ht="15" hidden="false" customHeight="false" outlineLevel="0" collapsed="false">
      <c r="A6" s="8" t="s">
        <v>22</v>
      </c>
    </row>
    <row r="7" customFormat="false" ht="30" hidden="false" customHeight="true" outlineLevel="0" collapsed="false">
      <c r="A7" s="9" t="s">
        <v>23</v>
      </c>
      <c r="B7" s="9" t="s">
        <v>24</v>
      </c>
      <c r="C7" s="9" t="s">
        <v>25</v>
      </c>
      <c r="D7" s="9" t="s">
        <v>26</v>
      </c>
      <c r="E7" s="9" t="s">
        <v>27</v>
      </c>
      <c r="F7" s="9" t="s">
        <v>28</v>
      </c>
      <c r="G7" s="9" t="s">
        <v>29</v>
      </c>
      <c r="H7" s="9" t="s">
        <v>30</v>
      </c>
      <c r="I7" s="9" t="s">
        <v>31</v>
      </c>
      <c r="J7" s="9" t="s">
        <v>32</v>
      </c>
      <c r="K7" s="9" t="s">
        <v>33</v>
      </c>
    </row>
    <row r="8" customFormat="false" ht="30" hidden="false" customHeight="true" outlineLevel="0" collapsed="false">
      <c r="A8" s="10" t="s">
        <v>21</v>
      </c>
      <c r="B8" s="11" t="n">
        <v>1</v>
      </c>
      <c r="C8" s="11" t="n">
        <v>1</v>
      </c>
      <c r="D8" s="11" t="n">
        <v>1</v>
      </c>
      <c r="E8" s="12" t="n">
        <v>0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3" t="s">
        <v>34</v>
      </c>
    </row>
    <row r="9" customFormat="false" ht="30" hidden="false" customHeight="true" outlineLevel="0" collapsed="false">
      <c r="A9" s="10" t="s">
        <v>35</v>
      </c>
      <c r="B9" s="11" t="n">
        <v>0.95</v>
      </c>
      <c r="C9" s="11" t="n">
        <v>1.18</v>
      </c>
      <c r="D9" s="11" t="n">
        <v>0.82</v>
      </c>
      <c r="E9" s="12" t="n">
        <v>5</v>
      </c>
      <c r="F9" s="11" t="n">
        <v>1</v>
      </c>
      <c r="G9" s="11" t="n">
        <v>1</v>
      </c>
      <c r="H9" s="11" t="n">
        <v>1</v>
      </c>
      <c r="I9" s="11" t="n">
        <v>1.35</v>
      </c>
      <c r="J9" s="11" t="n">
        <v>1.2</v>
      </c>
      <c r="K9" s="13" t="s">
        <v>36</v>
      </c>
    </row>
    <row r="10" customFormat="false" ht="30" hidden="false" customHeight="true" outlineLevel="0" collapsed="false">
      <c r="A10" s="10" t="s">
        <v>37</v>
      </c>
      <c r="B10" s="11" t="n">
        <v>0.8</v>
      </c>
      <c r="C10" s="11" t="n">
        <v>1.05</v>
      </c>
      <c r="D10" s="11" t="n">
        <v>0.95</v>
      </c>
      <c r="E10" s="12" t="n">
        <v>25</v>
      </c>
      <c r="F10" s="11" t="n">
        <v>1.1</v>
      </c>
      <c r="G10" s="11" t="n">
        <v>1</v>
      </c>
      <c r="H10" s="11" t="n">
        <v>1</v>
      </c>
      <c r="I10" s="11" t="n">
        <v>1</v>
      </c>
      <c r="J10" s="11" t="n">
        <v>1.3</v>
      </c>
      <c r="K10" s="13" t="s">
        <v>38</v>
      </c>
    </row>
    <row r="11" customFormat="false" ht="30" hidden="false" customHeight="true" outlineLevel="0" collapsed="false">
      <c r="A11" s="10" t="s">
        <v>39</v>
      </c>
      <c r="B11" s="11" t="n">
        <v>0.97</v>
      </c>
      <c r="C11" s="11" t="n">
        <v>1.03</v>
      </c>
      <c r="D11" s="11" t="n">
        <v>1</v>
      </c>
      <c r="E11" s="12" t="n">
        <v>0</v>
      </c>
      <c r="F11" s="11" t="n">
        <v>1</v>
      </c>
      <c r="G11" s="11" t="n">
        <v>3</v>
      </c>
      <c r="H11" s="11" t="n">
        <v>1.5</v>
      </c>
      <c r="I11" s="11" t="n">
        <v>1</v>
      </c>
      <c r="J11" s="11" t="n">
        <v>2</v>
      </c>
      <c r="K11" s="13" t="s">
        <v>40</v>
      </c>
    </row>
    <row r="12" customFormat="false" ht="30" hidden="false" customHeight="true" outlineLevel="0" collapsed="false">
      <c r="A12" s="10" t="s">
        <v>41</v>
      </c>
      <c r="B12" s="11" t="n">
        <v>0.93</v>
      </c>
      <c r="C12" s="11" t="n">
        <v>1.04</v>
      </c>
      <c r="D12" s="11" t="n">
        <v>0.95</v>
      </c>
      <c r="E12" s="12" t="n">
        <v>0</v>
      </c>
      <c r="F12" s="11" t="n">
        <v>2.2</v>
      </c>
      <c r="G12" s="11" t="n">
        <v>1</v>
      </c>
      <c r="H12" s="11" t="n">
        <v>1.8</v>
      </c>
      <c r="I12" s="11" t="n">
        <v>1.25</v>
      </c>
      <c r="J12" s="11" t="n">
        <v>1.2</v>
      </c>
      <c r="K12" s="13" t="s">
        <v>42</v>
      </c>
    </row>
    <row r="13" customFormat="false" ht="30" hidden="false" customHeight="true" outlineLevel="0" collapsed="false">
      <c r="A13" s="10" t="s">
        <v>43</v>
      </c>
      <c r="B13" s="11" t="n">
        <v>0.98</v>
      </c>
      <c r="C13" s="11" t="n">
        <v>1</v>
      </c>
      <c r="D13" s="11" t="n">
        <v>1</v>
      </c>
      <c r="E13" s="12" t="n">
        <v>3</v>
      </c>
      <c r="F13" s="11" t="n">
        <v>1.2</v>
      </c>
      <c r="G13" s="11" t="n">
        <v>1.5</v>
      </c>
      <c r="H13" s="11" t="n">
        <v>4</v>
      </c>
      <c r="I13" s="11" t="n">
        <v>1</v>
      </c>
      <c r="J13" s="11" t="n">
        <v>3</v>
      </c>
      <c r="K13" s="13" t="s">
        <v>44</v>
      </c>
    </row>
    <row r="15" customFormat="false" ht="15" hidden="false" customHeight="false" outlineLevel="0" collapsed="false">
      <c r="A15" s="8" t="s">
        <v>45</v>
      </c>
    </row>
    <row r="16" customFormat="false" ht="30" hidden="false" customHeight="true" outlineLevel="0" collapsed="false">
      <c r="A16" s="14" t="s">
        <v>46</v>
      </c>
      <c r="B16" s="15" t="n">
        <f aca="false">INDEX(B$8:B$13,MATCH($B$4,$A$8:$A$13,0))</f>
        <v>1</v>
      </c>
      <c r="C16" s="15" t="n">
        <f aca="false">INDEX(C$8:C$13,MATCH($B$4,$A$8:$A$13,0))</f>
        <v>1</v>
      </c>
      <c r="D16" s="15" t="n">
        <f aca="false">INDEX(D$8:D$13,MATCH($B$4,$A$8:$A$13,0))</f>
        <v>1</v>
      </c>
      <c r="E16" s="16" t="n">
        <f aca="false">INDEX(E$8:E$13,MATCH($B$4,$A$8:$A$13,0))</f>
        <v>0</v>
      </c>
      <c r="F16" s="15" t="n">
        <f aca="false">INDEX(F$8:F$13,MATCH($B$4,$A$8:$A$13,0))</f>
        <v>1</v>
      </c>
      <c r="G16" s="15" t="n">
        <f aca="false">INDEX(G$8:G$13,MATCH($B$4,$A$8:$A$13,0))</f>
        <v>1</v>
      </c>
      <c r="H16" s="15" t="n">
        <f aca="false">INDEX(H$8:H$13,MATCH($B$4,$A$8:$A$13,0))</f>
        <v>1</v>
      </c>
      <c r="I16" s="15" t="n">
        <f aca="false">INDEX(I$8:I$13,MATCH($B$4,$A$8:$A$13,0))</f>
        <v>1</v>
      </c>
      <c r="J16" s="15" t="n">
        <f aca="false">INDEX(J$8:J$13,MATCH($B$4,$A$8:$A$13,0))</f>
        <v>1</v>
      </c>
      <c r="K16" s="17" t="str">
        <f aca="false">INDEX(K$8:K$13,MATCH($B$4,$A$8:$A$13,0))</f>
        <v>Normal operating conditions using the base values you entered.</v>
      </c>
    </row>
    <row r="18" customFormat="false" ht="15" hidden="false" customHeight="false" outlineLevel="0" collapsed="false">
      <c r="A18" s="8" t="s">
        <v>47</v>
      </c>
    </row>
    <row r="19" customFormat="false" ht="15" hidden="false" customHeight="false" outlineLevel="0" collapsed="false">
      <c r="A19" s="18" t="s">
        <v>48</v>
      </c>
      <c r="B19" s="19" t="n">
        <v>70</v>
      </c>
      <c r="C19" s="2" t="s">
        <v>49</v>
      </c>
    </row>
    <row r="20" customFormat="false" ht="15" hidden="false" customHeight="false" outlineLevel="0" collapsed="false">
      <c r="A20" s="18" t="s">
        <v>50</v>
      </c>
      <c r="B20" s="19" t="n">
        <v>40</v>
      </c>
    </row>
    <row r="22" customFormat="false" ht="15" hidden="false" customHeight="false" outlineLevel="0" collapsed="false">
      <c r="A22" s="8" t="s">
        <v>51</v>
      </c>
    </row>
    <row r="23" customFormat="false" ht="30" hidden="false" customHeight="true" outlineLevel="0" collapsed="false">
      <c r="A23" s="9" t="s">
        <v>52</v>
      </c>
      <c r="B23" s="9" t="s">
        <v>53</v>
      </c>
    </row>
    <row r="24" customFormat="false" ht="15" hidden="false" customHeight="false" outlineLevel="0" collapsed="false">
      <c r="A24" s="18" t="s">
        <v>54</v>
      </c>
      <c r="B24" s="19" t="n">
        <v>1</v>
      </c>
    </row>
    <row r="25" customFormat="false" ht="15" hidden="false" customHeight="false" outlineLevel="0" collapsed="false">
      <c r="A25" s="18" t="s">
        <v>55</v>
      </c>
      <c r="B25" s="19" t="n">
        <v>1</v>
      </c>
    </row>
    <row r="26" customFormat="false" ht="15" hidden="false" customHeight="false" outlineLevel="0" collapsed="false">
      <c r="A26" s="18" t="s">
        <v>56</v>
      </c>
      <c r="B26" s="19" t="n">
        <v>1</v>
      </c>
    </row>
    <row r="27" customFormat="false" ht="15" hidden="false" customHeight="false" outlineLevel="0" collapsed="false">
      <c r="A27" s="18" t="s">
        <v>57</v>
      </c>
      <c r="B27" s="19" t="n">
        <v>1</v>
      </c>
    </row>
    <row r="28" customFormat="false" ht="15" hidden="false" customHeight="false" outlineLevel="0" collapsed="false">
      <c r="A28" s="18" t="s">
        <v>58</v>
      </c>
      <c r="B28" s="19" t="n">
        <v>1</v>
      </c>
    </row>
    <row r="29" customFormat="false" ht="15" hidden="false" customHeight="false" outlineLevel="0" collapsed="false">
      <c r="A29" s="18" t="s">
        <v>59</v>
      </c>
      <c r="B29" s="19" t="n">
        <v>1</v>
      </c>
    </row>
    <row r="30" customFormat="false" ht="15" hidden="false" customHeight="false" outlineLevel="0" collapsed="false">
      <c r="A30" s="18" t="s">
        <v>60</v>
      </c>
      <c r="B30" s="19" t="n">
        <v>1</v>
      </c>
    </row>
    <row r="31" customFormat="false" ht="15" hidden="false" customHeight="false" outlineLevel="0" collapsed="false">
      <c r="A31" s="18" t="s">
        <v>61</v>
      </c>
      <c r="B31" s="19" t="n">
        <v>1</v>
      </c>
    </row>
    <row r="32" customFormat="false" ht="15" hidden="false" customHeight="false" outlineLevel="0" collapsed="false">
      <c r="A32" s="18" t="s">
        <v>62</v>
      </c>
      <c r="B32" s="19" t="n">
        <v>1</v>
      </c>
    </row>
    <row r="33" customFormat="false" ht="15" hidden="false" customHeight="false" outlineLevel="0" collapsed="false">
      <c r="A33" s="18" t="s">
        <v>63</v>
      </c>
      <c r="B33" s="19" t="n">
        <v>1</v>
      </c>
    </row>
    <row r="34" customFormat="false" ht="15" hidden="false" customHeight="false" outlineLevel="0" collapsed="false">
      <c r="A34" s="18" t="s">
        <v>64</v>
      </c>
      <c r="B34" s="19" t="n">
        <v>1</v>
      </c>
    </row>
    <row r="35" customFormat="false" ht="15" hidden="false" customHeight="false" outlineLevel="0" collapsed="false">
      <c r="A35" s="18" t="s">
        <v>65</v>
      </c>
      <c r="B35" s="19" t="n">
        <v>1</v>
      </c>
    </row>
  </sheetData>
  <mergeCells count="1">
    <mergeCell ref="B4:D4"/>
  </mergeCells>
  <dataValidations count="1">
    <dataValidation allowBlank="false" errorStyle="stop" operator="between" showDropDown="false" showErrorMessage="false" showInputMessage="false" sqref="B4" type="list">
      <formula1>$A$8:$A$13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38"/>
    <col collapsed="false" customWidth="true" hidden="false" outlineLevel="0" max="6" min="6" style="0" width="8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9.7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B4" s="6" t="s">
        <v>68</v>
      </c>
      <c r="C4" s="20" t="str">
        <f aca="false">Control!$B$4</f>
        <v>Base Case</v>
      </c>
      <c r="D4" s="20"/>
      <c r="E4" s="20"/>
      <c r="F4" s="20"/>
    </row>
    <row r="5" customFormat="false" ht="30" hidden="false" customHeight="true" outlineLevel="0" collapsed="false">
      <c r="B5" s="21" t="s">
        <v>33</v>
      </c>
      <c r="C5" s="22" t="str">
        <f aca="false">Control!$K$16</f>
        <v>Normal operating conditions using the base values you entered.</v>
      </c>
      <c r="D5" s="22"/>
      <c r="E5" s="22"/>
      <c r="F5" s="22"/>
    </row>
    <row r="6" customFormat="false" ht="17.35" hidden="false" customHeight="false" outlineLevel="0" collapsed="false">
      <c r="B6" s="23" t="s">
        <v>69</v>
      </c>
      <c r="C6" s="24" t="n">
        <f aca="false">SUMPRODUCT(C11:C22,G11:G22)/SUM(G11:G22)</f>
        <v>77.4832774996659</v>
      </c>
      <c r="D6" s="25" t="str">
        <f aca="false">IF(C6&gt;=Control!$B$19,"GREEN",IF(C6&gt;=Control!$B$20,"AMBER","RED"))</f>
        <v>GREEN</v>
      </c>
    </row>
    <row r="7" customFormat="false" ht="15" hidden="false" customHeight="false" outlineLevel="0" collapsed="false">
      <c r="B7" s="6" t="s">
        <v>70</v>
      </c>
      <c r="C7" s="26" t="n">
        <f aca="false">COUNTIF($D$11:$D$22,"GREEN")</f>
        <v>11</v>
      </c>
      <c r="D7" s="26" t="n">
        <f aca="false">COUNTIF($D$11:$D$22,"AMBER")</f>
        <v>1</v>
      </c>
      <c r="E7" s="27" t="n">
        <f aca="false">COUNTIF($D$11:$D$22,"RED")</f>
        <v>0</v>
      </c>
    </row>
    <row r="8" customFormat="false" ht="15" hidden="false" customHeight="false" outlineLevel="0" collapsed="false">
      <c r="B8" s="6" t="s">
        <v>71</v>
      </c>
      <c r="C8" s="28" t="str">
        <f aca="false">INDEX($B$11:$B$22,MATCH(MIN($C$11:$C$22),$C$11:$C$22,0))</f>
        <v>Policy Making</v>
      </c>
      <c r="D8" s="28"/>
      <c r="E8" s="28"/>
    </row>
    <row r="10" customFormat="false" ht="30" hidden="false" customHeight="true" outlineLevel="0" collapsed="false">
      <c r="A10" s="9" t="s">
        <v>72</v>
      </c>
      <c r="B10" s="9" t="s">
        <v>52</v>
      </c>
      <c r="C10" s="9" t="s">
        <v>73</v>
      </c>
      <c r="D10" s="9" t="s">
        <v>74</v>
      </c>
      <c r="E10" s="9" t="s">
        <v>75</v>
      </c>
      <c r="F10" s="9" t="s">
        <v>76</v>
      </c>
      <c r="G10" s="9" t="s">
        <v>53</v>
      </c>
      <c r="H10" s="9" t="s">
        <v>77</v>
      </c>
    </row>
    <row r="11" customFormat="false" ht="30" hidden="false" customHeight="true" outlineLevel="0" collapsed="false">
      <c r="A11" s="29" t="n">
        <v>1</v>
      </c>
      <c r="B11" s="10" t="s">
        <v>54</v>
      </c>
      <c r="C11" s="30" t="n">
        <f aca="false">GovAffairs!$B$21</f>
        <v>76.1111111111111</v>
      </c>
      <c r="D11" s="29" t="str">
        <f aca="false">GovAffairs!$B$22</f>
        <v>GREEN</v>
      </c>
      <c r="E11" s="13" t="str">
        <f aca="false">GovAffairs!$B$23</f>
        <v>Institutional contact depth</v>
      </c>
      <c r="F11" s="31" t="str">
        <f aca="false">GovAffairs!$B$24</f>
        <v>Name a second senior contact for each regulator; document every channel.</v>
      </c>
      <c r="G11" s="29" t="n">
        <f aca="false">Control!$B$24</f>
        <v>1</v>
      </c>
      <c r="H11" s="32" t="str">
        <f aca="false">HYPERLINK("#GovAffairs!A1","Open")</f>
        <v>Open</v>
      </c>
    </row>
    <row r="12" customFormat="false" ht="30" hidden="false" customHeight="true" outlineLevel="0" collapsed="false">
      <c r="A12" s="29" t="n">
        <v>2</v>
      </c>
      <c r="B12" s="10" t="s">
        <v>55</v>
      </c>
      <c r="C12" s="30" t="n">
        <f aca="false">Policy!$B$20</f>
        <v>64.3518518518519</v>
      </c>
      <c r="D12" s="29" t="str">
        <f aca="false">Policy!$B$21</f>
        <v>AMBER</v>
      </c>
      <c r="E12" s="13" t="str">
        <f aca="false">Policy!$B$22</f>
        <v>Exception rate (exceptions / policies)</v>
      </c>
      <c r="F12" s="31" t="str">
        <f aca="false">Policy!$B$23</f>
        <v>Frequent exceptions mean the policy is wrong or ignored. Rewrite it or enforce it.</v>
      </c>
      <c r="G12" s="29" t="n">
        <f aca="false">Control!$B$25</f>
        <v>1</v>
      </c>
      <c r="H12" s="32" t="str">
        <f aca="false">HYPERLINK("#Policy!A1","Open")</f>
        <v>Open</v>
      </c>
    </row>
    <row r="13" customFormat="false" ht="30" hidden="false" customHeight="true" outlineLevel="0" collapsed="false">
      <c r="A13" s="29" t="n">
        <v>3</v>
      </c>
      <c r="B13" s="10" t="s">
        <v>56</v>
      </c>
      <c r="C13" s="30" t="n">
        <f aca="false">PublicAffairs!$B$20</f>
        <v>80.6666666666667</v>
      </c>
      <c r="D13" s="29" t="str">
        <f aca="false">PublicAffairs!$B$21</f>
        <v>GREEN</v>
      </c>
      <c r="E13" s="13" t="str">
        <f aca="false">PublicAffairs!$B$22</f>
        <v>Holding-statement coverage</v>
      </c>
      <c r="F13" s="31" t="str">
        <f aca="false">PublicAffairs!$B$23</f>
        <v>Draft and pre-approve holding statements for every identified crisis scenario.</v>
      </c>
      <c r="G13" s="29" t="n">
        <f aca="false">Control!$B$26</f>
        <v>1</v>
      </c>
      <c r="H13" s="32" t="str">
        <f aca="false">HYPERLINK("#PublicAffairs!A1","Open")</f>
        <v>Open</v>
      </c>
    </row>
    <row r="14" customFormat="false" ht="30" hidden="false" customHeight="true" outlineLevel="0" collapsed="false">
      <c r="A14" s="29" t="n">
        <v>4</v>
      </c>
      <c r="B14" s="10" t="s">
        <v>57</v>
      </c>
      <c r="C14" s="30" t="n">
        <f aca="false">PublicInterest!$B$20</f>
        <v>70.4166666666667</v>
      </c>
      <c r="D14" s="29" t="str">
        <f aca="false">PublicInterest!$B$21</f>
        <v>GREEN</v>
      </c>
      <c r="E14" s="13" t="str">
        <f aca="false">PublicInterest!$B$22</f>
        <v>Public-interest test coverage</v>
      </c>
      <c r="F14" s="31" t="str">
        <f aca="false">PublicInterest!$B$23</f>
        <v>Add a mandatory public-interest box to every board paper.</v>
      </c>
      <c r="G14" s="29" t="n">
        <f aca="false">Control!$B$27</f>
        <v>1</v>
      </c>
      <c r="H14" s="32" t="str">
        <f aca="false">HYPERLINK("#PublicInterest!A1","Open")</f>
        <v>Open</v>
      </c>
    </row>
    <row r="15" customFormat="false" ht="30" hidden="false" customHeight="true" outlineLevel="0" collapsed="false">
      <c r="A15" s="29" t="n">
        <v>5</v>
      </c>
      <c r="B15" s="10" t="s">
        <v>58</v>
      </c>
      <c r="C15" s="30" t="n">
        <f aca="false">HR!$B$23</f>
        <v>83.0035528972727</v>
      </c>
      <c r="D15" s="29" t="str">
        <f aca="false">HR!$B$24</f>
        <v>GREEN</v>
      </c>
      <c r="E15" s="13" t="str">
        <f aca="false">HR!$B$25</f>
        <v>Succession coverage</v>
      </c>
      <c r="F15" s="31" t="str">
        <f aca="false">HR!$B$26</f>
        <v>Name a successor and an emergency backup for every critical role; start rotation plans.</v>
      </c>
      <c r="G15" s="29" t="n">
        <f aca="false">Control!$B$28</f>
        <v>1</v>
      </c>
      <c r="H15" s="32" t="str">
        <f aca="false">HYPERLINK("#HR!A1","Open")</f>
        <v>Open</v>
      </c>
    </row>
    <row r="16" customFormat="false" ht="30" hidden="false" customHeight="true" outlineLevel="0" collapsed="false">
      <c r="A16" s="29" t="n">
        <v>6</v>
      </c>
      <c r="B16" s="10" t="s">
        <v>59</v>
      </c>
      <c r="C16" s="30" t="n">
        <f aca="false">OrgInterest!$B$24</f>
        <v>72.3995911495912</v>
      </c>
      <c r="D16" s="29" t="str">
        <f aca="false">OrgInterest!$B$25</f>
        <v>GREEN</v>
      </c>
      <c r="E16" s="13" t="str">
        <f aca="false">OrgInterest!$B$26</f>
        <v>Related-party transactions reviewed</v>
      </c>
      <c r="F16" s="31" t="str">
        <f aca="false">OrgInterest!$B$27</f>
        <v>Route every related-party transaction through the committee; no retrospective approvals.</v>
      </c>
      <c r="G16" s="29" t="n">
        <f aca="false">Control!$B$29</f>
        <v>1</v>
      </c>
      <c r="H16" s="32" t="str">
        <f aca="false">HYPERLINK("#OrgInterest!A1","Open")</f>
        <v>Open</v>
      </c>
    </row>
    <row r="17" customFormat="false" ht="30" hidden="false" customHeight="true" outlineLevel="0" collapsed="false">
      <c r="A17" s="29" t="n">
        <v>7</v>
      </c>
      <c r="B17" s="10" t="s">
        <v>60</v>
      </c>
      <c r="C17" s="30" t="n">
        <f aca="false">Payroll!$B$23</f>
        <v>77.5873015873016</v>
      </c>
      <c r="D17" s="29" t="str">
        <f aca="false">Payroll!$B$24</f>
        <v>GREEN</v>
      </c>
      <c r="E17" s="13" t="str">
        <f aca="false">Payroll!$B$25</f>
        <v>Overrides without prior approval</v>
      </c>
      <c r="F17" s="31" t="str">
        <f aca="false">Payroll!$B$26</f>
        <v>Block post-run approvals: no override without sign-off before the run.</v>
      </c>
      <c r="G17" s="29" t="n">
        <f aca="false">Control!$B$30</f>
        <v>1</v>
      </c>
      <c r="H17" s="32" t="str">
        <f aca="false">HYPERLINK("#Payroll!A1","Open")</f>
        <v>Open</v>
      </c>
    </row>
    <row r="18" customFormat="false" ht="30" hidden="false" customHeight="true" outlineLevel="0" collapsed="false">
      <c r="A18" s="29" t="n">
        <v>8</v>
      </c>
      <c r="B18" s="10" t="s">
        <v>61</v>
      </c>
      <c r="C18" s="30" t="n">
        <f aca="false">Finance!$B$23</f>
        <v>93.0196078431373</v>
      </c>
      <c r="D18" s="29" t="str">
        <f aca="false">Finance!$B$24</f>
        <v>GREEN</v>
      </c>
      <c r="E18" s="13" t="str">
        <f aca="false">Finance!$B$25</f>
        <v>Days sales outstanding</v>
      </c>
      <c r="F18" s="31" t="str">
        <f aca="false">Finance!$B$26</f>
        <v>Sector healthy. Keep the quarterly review and watch: Days sales outstanding</v>
      </c>
      <c r="G18" s="29" t="n">
        <f aca="false">Control!$B$31</f>
        <v>1</v>
      </c>
      <c r="H18" s="32" t="str">
        <f aca="false">HYPERLINK("#Finance!A1","Open")</f>
        <v>Open</v>
      </c>
    </row>
    <row r="19" customFormat="false" ht="30" hidden="false" customHeight="true" outlineLevel="0" collapsed="false">
      <c r="A19" s="29" t="n">
        <v>9</v>
      </c>
      <c r="B19" s="10" t="s">
        <v>62</v>
      </c>
      <c r="C19" s="30" t="n">
        <f aca="false">Audit!$B$23</f>
        <v>72.8571428571429</v>
      </c>
      <c r="D19" s="29" t="str">
        <f aca="false">Audit!$B$24</f>
        <v>GREEN</v>
      </c>
      <c r="E19" s="13" t="str">
        <f aca="false">Audit!$B$25</f>
        <v>Overdue share of open findings</v>
      </c>
      <c r="F19" s="31" t="str">
        <f aca="false">Audit!$B$26</f>
        <v>Escalate every overdue finding to the Audit &amp; Risk committee with the owner present.</v>
      </c>
      <c r="G19" s="29" t="n">
        <f aca="false">Control!$B$32</f>
        <v>1</v>
      </c>
      <c r="H19" s="32" t="str">
        <f aca="false">HYPERLINK("#Audit!A1","Open")</f>
        <v>Open</v>
      </c>
    </row>
    <row r="20" customFormat="false" ht="30" hidden="false" customHeight="true" outlineLevel="0" collapsed="false">
      <c r="A20" s="29" t="n">
        <v>10</v>
      </c>
      <c r="B20" s="10" t="s">
        <v>63</v>
      </c>
      <c r="C20" s="30" t="n">
        <f aca="false">Commercials!$B$24</f>
        <v>82.752380952381</v>
      </c>
      <c r="D20" s="29" t="str">
        <f aca="false">Commercials!$B$25</f>
        <v>GREEN</v>
      </c>
      <c r="E20" s="13" t="str">
        <f aca="false">Commercials!$B$26</f>
        <v>Contract renewal rate</v>
      </c>
      <c r="F20" s="31" t="str">
        <f aca="false">Commercials!$B$27</f>
        <v>Start renewal conversations 120 days out; review churn reasons.</v>
      </c>
      <c r="G20" s="29" t="n">
        <f aca="false">Control!$B$33</f>
        <v>1</v>
      </c>
      <c r="H20" s="32" t="str">
        <f aca="false">HYPERLINK("#Commercials!A1","Open")</f>
        <v>Open</v>
      </c>
    </row>
    <row r="21" customFormat="false" ht="30" hidden="false" customHeight="true" outlineLevel="0" collapsed="false">
      <c r="A21" s="29" t="n">
        <v>11</v>
      </c>
      <c r="B21" s="10" t="s">
        <v>64</v>
      </c>
      <c r="C21" s="30" t="n">
        <f aca="false">Procurement!$B$28</f>
        <v>74.6230158730159</v>
      </c>
      <c r="D21" s="29" t="str">
        <f aca="false">Procurement!$B$29</f>
        <v>GREEN</v>
      </c>
      <c r="E21" s="13" t="str">
        <f aca="false">Procurement!$B$30</f>
        <v>Plan-B coverage of critical categories</v>
      </c>
      <c r="F21" s="31" t="str">
        <f aca="false">Procurement!$B$31</f>
        <v>Write and test a plan B for every critical category without one.</v>
      </c>
      <c r="G21" s="29" t="n">
        <f aca="false">Control!$B$34</f>
        <v>1</v>
      </c>
      <c r="H21" s="32" t="str">
        <f aca="false">HYPERLINK("#Procurement!A1","Open")</f>
        <v>Open</v>
      </c>
    </row>
    <row r="22" customFormat="false" ht="30" hidden="false" customHeight="true" outlineLevel="0" collapsed="false">
      <c r="A22" s="29" t="n">
        <v>12</v>
      </c>
      <c r="B22" s="10" t="s">
        <v>65</v>
      </c>
      <c r="C22" s="30" t="n">
        <f aca="false">Production!$B$23</f>
        <v>82.0104405398523</v>
      </c>
      <c r="D22" s="29" t="str">
        <f aca="false">Production!$B$24</f>
        <v>GREEN</v>
      </c>
      <c r="E22" s="13" t="str">
        <f aca="false">Production!$B$25</f>
        <v>Lost-time injuries</v>
      </c>
      <c r="F22" s="31" t="str">
        <f aca="false">Production!$B$26</f>
        <v>Treat every injury as a board-level event; independent safety review within 30 days.</v>
      </c>
      <c r="G22" s="29" t="n">
        <f aca="false">Control!$B$35</f>
        <v>1</v>
      </c>
      <c r="H22" s="32" t="str">
        <f aca="false">HYPERLINK("#Production!A1","Open")</f>
        <v>Open</v>
      </c>
    </row>
  </sheetData>
  <mergeCells count="3">
    <mergeCell ref="C4:F4"/>
    <mergeCell ref="C5:F5"/>
    <mergeCell ref="C8:E8"/>
  </mergeCells>
  <conditionalFormatting sqref="D11:D22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D6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78</v>
      </c>
    </row>
    <row r="2" customFormat="false" ht="30" hidden="false" customHeight="true" outlineLevel="0" collapsed="false">
      <c r="A2" s="33" t="s">
        <v>79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87</v>
      </c>
      <c r="B7" s="29" t="s">
        <v>88</v>
      </c>
      <c r="C7" s="35" t="n">
        <v>48</v>
      </c>
      <c r="D7" s="36" t="n">
        <f aca="false">C7</f>
        <v>48</v>
      </c>
      <c r="E7" s="37" t="s">
        <v>89</v>
      </c>
    </row>
    <row r="8" customFormat="false" ht="15" hidden="false" customHeight="false" outlineLevel="0" collapsed="false">
      <c r="A8" s="18" t="s">
        <v>90</v>
      </c>
      <c r="B8" s="29" t="s">
        <v>88</v>
      </c>
      <c r="C8" s="35" t="n">
        <v>1</v>
      </c>
      <c r="D8" s="36" t="n">
        <f aca="false">C8*Control!$G$16</f>
        <v>1</v>
      </c>
      <c r="E8" s="37" t="s">
        <v>91</v>
      </c>
    </row>
    <row r="9" customFormat="false" ht="15" hidden="false" customHeight="false" outlineLevel="0" collapsed="false">
      <c r="A9" s="18" t="s">
        <v>92</v>
      </c>
      <c r="B9" s="29" t="s">
        <v>88</v>
      </c>
      <c r="C9" s="35" t="n">
        <v>12</v>
      </c>
      <c r="D9" s="36" t="n">
        <f aca="false">C9</f>
        <v>12</v>
      </c>
      <c r="E9" s="37" t="s">
        <v>93</v>
      </c>
    </row>
    <row r="10" customFormat="false" ht="15" hidden="false" customHeight="false" outlineLevel="0" collapsed="false">
      <c r="A10" s="18" t="s">
        <v>94</v>
      </c>
      <c r="B10" s="29" t="s">
        <v>88</v>
      </c>
      <c r="C10" s="35" t="n">
        <v>9</v>
      </c>
      <c r="D10" s="36" t="n">
        <f aca="false">C10</f>
        <v>9</v>
      </c>
      <c r="E10" s="37" t="s">
        <v>95</v>
      </c>
    </row>
    <row r="11" customFormat="false" ht="15" hidden="false" customHeight="false" outlineLevel="0" collapsed="false">
      <c r="A11" s="18" t="s">
        <v>96</v>
      </c>
      <c r="B11" s="29" t="s">
        <v>88</v>
      </c>
      <c r="C11" s="35" t="n">
        <v>6</v>
      </c>
      <c r="D11" s="36" t="n">
        <f aca="false">C11*Control!$G$16</f>
        <v>6</v>
      </c>
      <c r="E11" s="37"/>
    </row>
    <row r="12" customFormat="false" ht="15" hidden="false" customHeight="false" outlineLevel="0" collapsed="false">
      <c r="A12" s="18" t="s">
        <v>97</v>
      </c>
      <c r="B12" s="29" t="s">
        <v>98</v>
      </c>
      <c r="C12" s="38" t="n">
        <v>22</v>
      </c>
      <c r="D12" s="39" t="n">
        <f aca="false">C12*(1+(Control!$G$16-1)*0.5)</f>
        <v>22</v>
      </c>
      <c r="E12" s="37"/>
    </row>
    <row r="14" customFormat="false" ht="15" hidden="false" customHeight="false" outlineLevel="0" collapsed="false">
      <c r="A14" s="8" t="s">
        <v>99</v>
      </c>
    </row>
    <row r="15" customFormat="false" ht="30" hidden="false" customHeight="true" outlineLevel="0" collapsed="false">
      <c r="A15" s="9" t="s">
        <v>100</v>
      </c>
      <c r="B15" s="9" t="s">
        <v>101</v>
      </c>
      <c r="C15" s="9" t="s">
        <v>102</v>
      </c>
      <c r="D15" s="9" t="s">
        <v>103</v>
      </c>
      <c r="E15" s="9" t="s">
        <v>104</v>
      </c>
      <c r="F15" s="9" t="s">
        <v>105</v>
      </c>
      <c r="G15" s="9" t="s">
        <v>74</v>
      </c>
      <c r="H15" s="9" t="s">
        <v>53</v>
      </c>
      <c r="I15" s="9" t="s">
        <v>106</v>
      </c>
    </row>
    <row r="16" customFormat="false" ht="27.75" hidden="false" customHeight="true" outlineLevel="0" collapsed="false">
      <c r="A16" s="18" t="s">
        <v>107</v>
      </c>
      <c r="B16" s="40" t="n">
        <f aca="false">IFERROR(($D$7-$D$8)/$D$7,0)</f>
        <v>0.979166666666667</v>
      </c>
      <c r="C16" s="41" t="n">
        <v>0.99</v>
      </c>
      <c r="D16" s="41" t="n">
        <v>0.9</v>
      </c>
      <c r="E16" s="42" t="s">
        <v>108</v>
      </c>
      <c r="F16" s="43" t="n">
        <f aca="false">IF(C16=D16,IF(B16&gt;=C16,100,0),MAX(0,MIN(100,(B16-D16)/(C16-D16)*100)))</f>
        <v>87.9629629629629</v>
      </c>
      <c r="G16" s="29" t="str">
        <f aca="false">IF(F16&gt;=Control!$B$19,"GREEN",IF(F16&gt;=Control!$B$20,"AMBER","RED"))</f>
        <v>GREEN</v>
      </c>
      <c r="H16" s="19" t="n">
        <v>3</v>
      </c>
      <c r="I16" s="13" t="s">
        <v>109</v>
      </c>
    </row>
    <row r="17" customFormat="false" ht="27.75" hidden="false" customHeight="true" outlineLevel="0" collapsed="false">
      <c r="A17" s="18" t="s">
        <v>110</v>
      </c>
      <c r="B17" s="44" t="n">
        <f aca="false">IFERROR($D$12,0)</f>
        <v>22</v>
      </c>
      <c r="C17" s="38" t="n">
        <v>15</v>
      </c>
      <c r="D17" s="38" t="n">
        <v>45</v>
      </c>
      <c r="E17" s="42" t="s">
        <v>111</v>
      </c>
      <c r="F17" s="43" t="n">
        <f aca="false">IF(C17=D17,IF(B17&gt;=C17,100,0),MAX(0,MIN(100,(B17-D17)/(C17-D17)*100)))</f>
        <v>76.6666666666667</v>
      </c>
      <c r="G17" s="29" t="str">
        <f aca="false">IF(F17&gt;=Control!$B$19,"GREEN",IF(F17&gt;=Control!$B$20,"AMBER","RED"))</f>
        <v>GREEN</v>
      </c>
      <c r="H17" s="19" t="n">
        <v>2</v>
      </c>
      <c r="I17" s="13" t="s">
        <v>112</v>
      </c>
    </row>
    <row r="18" customFormat="false" ht="27.75" hidden="false" customHeight="true" outlineLevel="0" collapsed="false">
      <c r="A18" s="18" t="s">
        <v>96</v>
      </c>
      <c r="B18" s="45" t="n">
        <f aca="false">IFERROR($D$11,0)</f>
        <v>6</v>
      </c>
      <c r="C18" s="35" t="n">
        <v>3</v>
      </c>
      <c r="D18" s="35" t="n">
        <v>12</v>
      </c>
      <c r="E18" s="42" t="s">
        <v>111</v>
      </c>
      <c r="F18" s="43" t="n">
        <f aca="false">IF(C18=D18,IF(B18&gt;=C18,100,0),MAX(0,MIN(100,(B18-D18)/(C18-D18)*100)))</f>
        <v>66.6666666666667</v>
      </c>
      <c r="G18" s="29" t="str">
        <f aca="false">IF(F18&gt;=Control!$B$19,"GREEN",IF(F18&gt;=Control!$B$20,"AMBER","RED"))</f>
        <v>AMBER</v>
      </c>
      <c r="H18" s="19" t="n">
        <v>1</v>
      </c>
      <c r="I18" s="13" t="s">
        <v>113</v>
      </c>
    </row>
    <row r="19" customFormat="false" ht="27.75" hidden="false" customHeight="true" outlineLevel="0" collapsed="false">
      <c r="A19" s="18" t="s">
        <v>114</v>
      </c>
      <c r="B19" s="40" t="n">
        <f aca="false">IFERROR($D$10/$D$9,0)</f>
        <v>0.75</v>
      </c>
      <c r="C19" s="41" t="n">
        <v>0.9</v>
      </c>
      <c r="D19" s="41" t="n">
        <v>0.5</v>
      </c>
      <c r="E19" s="42" t="s">
        <v>108</v>
      </c>
      <c r="F19" s="43" t="n">
        <f aca="false">IF(C19=D19,IF(B19&gt;=C19,100,0),MAX(0,MIN(100,(B19-D19)/(C19-D19)*100)))</f>
        <v>62.5</v>
      </c>
      <c r="G19" s="29" t="str">
        <f aca="false">IF(F19&gt;=Control!$B$19,"GREEN",IF(F19&gt;=Control!$B$20,"AMBER","RED"))</f>
        <v>AMBER</v>
      </c>
      <c r="H19" s="19" t="n">
        <v>2</v>
      </c>
      <c r="I19" s="13" t="s">
        <v>115</v>
      </c>
    </row>
    <row r="21" customFormat="false" ht="15" hidden="false" customHeight="false" outlineLevel="0" collapsed="false">
      <c r="A21" s="23" t="s">
        <v>116</v>
      </c>
      <c r="B21" s="46" t="n">
        <f aca="false">SUMPRODUCT($F$16:$F$19,$H$16:$H$19)/SUM($H$16:$H$19)</f>
        <v>76.1111111111111</v>
      </c>
    </row>
    <row r="22" customFormat="false" ht="15" hidden="false" customHeight="false" outlineLevel="0" collapsed="false">
      <c r="A22" s="23" t="s">
        <v>117</v>
      </c>
      <c r="B22" s="25" t="str">
        <f aca="false">IF(B21&gt;=Control!$B$19,"GREEN",IF(B21&gt;=Control!$B$20,"AMBER","RED"))</f>
        <v>GREEN</v>
      </c>
    </row>
    <row r="23" customFormat="false" ht="15" hidden="false" customHeight="false" outlineLevel="0" collapsed="false">
      <c r="A23" s="23" t="s">
        <v>118</v>
      </c>
      <c r="B23" s="6" t="str">
        <f aca="false">INDEX($A$16:$A$19,MATCH(MIN($F$16:$F$19),$F$16:$F$19,0))</f>
        <v>Institutional contact depth</v>
      </c>
    </row>
    <row r="24" customFormat="false" ht="31.5" hidden="false" customHeight="true" outlineLevel="0" collapsed="false">
      <c r="A24" s="47" t="s">
        <v>119</v>
      </c>
      <c r="B24" s="22" t="str">
        <f aca="false">IF(MIN($F$16:$F$19)&gt;=Control!$B$19,"Sector healthy. Keep the quarterly review and watch: "&amp;B23,INDEX($I$16:$I$19,MATCH(MIN($F$16:$F$19),$F$16:$F$19,0)))</f>
        <v>Name a second senior contact for each regulator; document every channel.</v>
      </c>
      <c r="C24" s="22"/>
      <c r="D24" s="22"/>
      <c r="E24" s="22"/>
      <c r="F24" s="22"/>
      <c r="G24" s="22"/>
      <c r="H24" s="22"/>
      <c r="I24" s="22"/>
    </row>
  </sheetData>
  <mergeCells count="2">
    <mergeCell ref="A2:I2"/>
    <mergeCell ref="B24:I24"/>
  </mergeCells>
  <conditionalFormatting sqref="G16:G19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2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120</v>
      </c>
    </row>
    <row r="2" customFormat="false" ht="30" hidden="false" customHeight="true" outlineLevel="0" collapsed="false">
      <c r="A2" s="33" t="s">
        <v>121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122</v>
      </c>
      <c r="B7" s="29" t="s">
        <v>88</v>
      </c>
      <c r="C7" s="35" t="n">
        <v>60</v>
      </c>
      <c r="D7" s="36" t="n">
        <f aca="false">C7</f>
        <v>60</v>
      </c>
      <c r="E7" s="37" t="s">
        <v>123</v>
      </c>
    </row>
    <row r="8" customFormat="false" ht="15" hidden="false" customHeight="false" outlineLevel="0" collapsed="false">
      <c r="A8" s="18" t="s">
        <v>124</v>
      </c>
      <c r="B8" s="29" t="s">
        <v>88</v>
      </c>
      <c r="C8" s="35" t="n">
        <v>54</v>
      </c>
      <c r="D8" s="36" t="n">
        <f aca="false">C8</f>
        <v>54</v>
      </c>
      <c r="E8" s="37"/>
    </row>
    <row r="9" customFormat="false" ht="15" hidden="false" customHeight="false" outlineLevel="0" collapsed="false">
      <c r="A9" s="18" t="s">
        <v>125</v>
      </c>
      <c r="B9" s="29" t="s">
        <v>88</v>
      </c>
      <c r="C9" s="35" t="n">
        <v>9</v>
      </c>
      <c r="D9" s="36" t="n">
        <f aca="false">C9*Control!$G$16</f>
        <v>9</v>
      </c>
      <c r="E9" s="37"/>
    </row>
    <row r="10" customFormat="false" ht="15" hidden="false" customHeight="false" outlineLevel="0" collapsed="false">
      <c r="A10" s="18" t="s">
        <v>126</v>
      </c>
      <c r="B10" s="29" t="s">
        <v>88</v>
      </c>
      <c r="C10" s="35" t="n">
        <v>57</v>
      </c>
      <c r="D10" s="36" t="n">
        <f aca="false">C10</f>
        <v>57</v>
      </c>
      <c r="E10" s="37"/>
    </row>
    <row r="11" customFormat="false" ht="15" hidden="false" customHeight="false" outlineLevel="0" collapsed="false">
      <c r="A11" s="18" t="s">
        <v>127</v>
      </c>
      <c r="B11" s="29" t="s">
        <v>88</v>
      </c>
      <c r="C11" s="35" t="n">
        <v>4</v>
      </c>
      <c r="D11" s="36" t="n">
        <f aca="false">C11*Control!$G$16</f>
        <v>4</v>
      </c>
      <c r="E11" s="37"/>
    </row>
    <row r="13" customFormat="false" ht="15" hidden="false" customHeight="false" outlineLevel="0" collapsed="false">
      <c r="A13" s="8" t="s">
        <v>99</v>
      </c>
    </row>
    <row r="14" customFormat="false" ht="30" hidden="false" customHeight="true" outlineLevel="0" collapsed="false">
      <c r="A14" s="9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105</v>
      </c>
      <c r="G14" s="9" t="s">
        <v>74</v>
      </c>
      <c r="H14" s="9" t="s">
        <v>53</v>
      </c>
      <c r="I14" s="9" t="s">
        <v>106</v>
      </c>
    </row>
    <row r="15" customFormat="false" ht="27.75" hidden="false" customHeight="true" outlineLevel="0" collapsed="false">
      <c r="A15" s="18" t="s">
        <v>128</v>
      </c>
      <c r="B15" s="40" t="n">
        <f aca="false">IFERROR($D$8/$D$7,0)</f>
        <v>0.9</v>
      </c>
      <c r="C15" s="41" t="n">
        <v>0.95</v>
      </c>
      <c r="D15" s="41" t="n">
        <v>0.75</v>
      </c>
      <c r="E15" s="42" t="s">
        <v>108</v>
      </c>
      <c r="F15" s="43" t="n">
        <f aca="false">IF(C15=D15,IF(B15&gt;=C15,100,0),MAX(0,MIN(100,(B15-D15)/(C15-D15)*100)))</f>
        <v>75</v>
      </c>
      <c r="G15" s="29" t="str">
        <f aca="false">IF(F15&gt;=Control!$B$19,"GREEN",IF(F15&gt;=Control!$B$20,"AMBER","RED"))</f>
        <v>GREEN</v>
      </c>
      <c r="H15" s="19" t="n">
        <v>2</v>
      </c>
      <c r="I15" s="13" t="s">
        <v>129</v>
      </c>
    </row>
    <row r="16" customFormat="false" ht="27.75" hidden="false" customHeight="true" outlineLevel="0" collapsed="false">
      <c r="A16" s="18" t="s">
        <v>130</v>
      </c>
      <c r="B16" s="40" t="n">
        <f aca="false">IFERROR($D$9/$D$7,0)</f>
        <v>0.15</v>
      </c>
      <c r="C16" s="41" t="n">
        <v>0.05</v>
      </c>
      <c r="D16" s="41" t="n">
        <v>0.25</v>
      </c>
      <c r="E16" s="42" t="s">
        <v>111</v>
      </c>
      <c r="F16" s="43" t="n">
        <f aca="false">IF(C16=D16,IF(B16&gt;=C16,100,0),MAX(0,MIN(100,(B16-D16)/(C16-D16)*100)))</f>
        <v>50</v>
      </c>
      <c r="G16" s="29" t="str">
        <f aca="false">IF(F16&gt;=Control!$B$19,"GREEN",IF(F16&gt;=Control!$B$20,"AMBER","RED"))</f>
        <v>AMBER</v>
      </c>
      <c r="H16" s="19" t="n">
        <v>2</v>
      </c>
      <c r="I16" s="13" t="s">
        <v>131</v>
      </c>
    </row>
    <row r="17" customFormat="false" ht="27.75" hidden="false" customHeight="true" outlineLevel="0" collapsed="false">
      <c r="A17" s="18" t="s">
        <v>132</v>
      </c>
      <c r="B17" s="40" t="n">
        <f aca="false">IFERROR($D$10/$D$7,0)</f>
        <v>0.95</v>
      </c>
      <c r="C17" s="41" t="n">
        <v>1</v>
      </c>
      <c r="D17" s="41" t="n">
        <v>0.85</v>
      </c>
      <c r="E17" s="42" t="s">
        <v>108</v>
      </c>
      <c r="F17" s="43" t="n">
        <f aca="false">IF(C17=D17,IF(B17&gt;=C17,100,0),MAX(0,MIN(100,(B17-D17)/(C17-D17)*100)))</f>
        <v>66.6666666666666</v>
      </c>
      <c r="G17" s="29" t="str">
        <f aca="false">IF(F17&gt;=Control!$B$19,"GREEN",IF(F17&gt;=Control!$B$20,"AMBER","RED"))</f>
        <v>AMBER</v>
      </c>
      <c r="H17" s="19" t="n">
        <v>1</v>
      </c>
      <c r="I17" s="13" t="s">
        <v>133</v>
      </c>
    </row>
    <row r="18" customFormat="false" ht="27.75" hidden="false" customHeight="true" outlineLevel="0" collapsed="false">
      <c r="A18" s="18" t="s">
        <v>134</v>
      </c>
      <c r="B18" s="44" t="n">
        <f aca="false">IFERROR($D$11/$D$7*100,0)</f>
        <v>6.66666666666667</v>
      </c>
      <c r="C18" s="38" t="n">
        <v>3</v>
      </c>
      <c r="D18" s="38" t="n">
        <v>15</v>
      </c>
      <c r="E18" s="42" t="s">
        <v>111</v>
      </c>
      <c r="F18" s="43" t="n">
        <f aca="false">IF(C18=D18,IF(B18&gt;=C18,100,0),MAX(0,MIN(100,(B18-D18)/(C18-D18)*100)))</f>
        <v>69.4444444444444</v>
      </c>
      <c r="G18" s="29" t="str">
        <f aca="false">IF(F18&gt;=Control!$B$19,"GREEN",IF(F18&gt;=Control!$B$20,"AMBER","RED"))</f>
        <v>AMBER</v>
      </c>
      <c r="H18" s="19" t="n">
        <v>1</v>
      </c>
      <c r="I18" s="13" t="s">
        <v>135</v>
      </c>
    </row>
    <row r="20" customFormat="false" ht="15" hidden="false" customHeight="false" outlineLevel="0" collapsed="false">
      <c r="A20" s="23" t="s">
        <v>116</v>
      </c>
      <c r="B20" s="46" t="n">
        <f aca="false">SUMPRODUCT($F$15:$F$18,$H$15:$H$18)/SUM($H$15:$H$18)</f>
        <v>64.3518518518519</v>
      </c>
    </row>
    <row r="21" customFormat="false" ht="15" hidden="false" customHeight="false" outlineLevel="0" collapsed="false">
      <c r="A21" s="23" t="s">
        <v>117</v>
      </c>
      <c r="B21" s="25" t="str">
        <f aca="false">IF(B20&gt;=Control!$B$19,"GREEN",IF(B20&gt;=Control!$B$20,"AMBER","RED"))</f>
        <v>AMBER</v>
      </c>
    </row>
    <row r="22" customFormat="false" ht="15" hidden="false" customHeight="false" outlineLevel="0" collapsed="false">
      <c r="A22" s="23" t="s">
        <v>118</v>
      </c>
      <c r="B22" s="6" t="str">
        <f aca="false">INDEX($A$15:$A$18,MATCH(MIN($F$15:$F$18),$F$15:$F$18,0))</f>
        <v>Exception rate (exceptions / policies)</v>
      </c>
    </row>
    <row r="23" customFormat="false" ht="31.5" hidden="false" customHeight="true" outlineLevel="0" collapsed="false">
      <c r="A23" s="47" t="s">
        <v>119</v>
      </c>
      <c r="B23" s="22" t="str">
        <f aca="false">IF(MIN($F$15:$F$18)&gt;=Control!$B$19,"Sector healthy. Keep the quarterly review and watch: "&amp;B22,INDEX($I$15:$I$18,MATCH(MIN($F$15:$F$18),$F$15:$F$18,0)))</f>
        <v>Frequent exceptions mean the policy is wrong or ignored. Rewrite it or enforce it.</v>
      </c>
      <c r="C23" s="22"/>
      <c r="D23" s="22"/>
      <c r="E23" s="22"/>
      <c r="F23" s="22"/>
      <c r="G23" s="22"/>
      <c r="H23" s="22"/>
      <c r="I23" s="22"/>
    </row>
  </sheetData>
  <mergeCells count="2">
    <mergeCell ref="A2:I2"/>
    <mergeCell ref="B23:I23"/>
  </mergeCells>
  <conditionalFormatting sqref="G15:G18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1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136</v>
      </c>
    </row>
    <row r="2" customFormat="false" ht="30" hidden="false" customHeight="true" outlineLevel="0" collapsed="false">
      <c r="A2" s="33" t="s">
        <v>137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138</v>
      </c>
      <c r="B7" s="29" t="s">
        <v>139</v>
      </c>
      <c r="C7" s="38" t="n">
        <v>6</v>
      </c>
      <c r="D7" s="39" t="n">
        <f aca="false">C7*(1+(Control!$J$16-1)*0.5)</f>
        <v>6</v>
      </c>
      <c r="E7" s="37"/>
    </row>
    <row r="8" customFormat="false" ht="15" hidden="false" customHeight="false" outlineLevel="0" collapsed="false">
      <c r="A8" s="18" t="s">
        <v>140</v>
      </c>
      <c r="B8" s="29" t="s">
        <v>141</v>
      </c>
      <c r="C8" s="41" t="n">
        <v>0.78</v>
      </c>
      <c r="D8" s="48" t="n">
        <f aca="false">C8*(1-(Control!$J$16-1)*0.05)</f>
        <v>0.78</v>
      </c>
      <c r="E8" s="37" t="s">
        <v>142</v>
      </c>
    </row>
    <row r="9" customFormat="false" ht="15" hidden="false" customHeight="false" outlineLevel="0" collapsed="false">
      <c r="A9" s="18" t="s">
        <v>143</v>
      </c>
      <c r="B9" s="29" t="s">
        <v>88</v>
      </c>
      <c r="C9" s="35" t="n">
        <v>5</v>
      </c>
      <c r="D9" s="36" t="n">
        <f aca="false">C9</f>
        <v>5</v>
      </c>
      <c r="E9" s="37" t="s">
        <v>144</v>
      </c>
    </row>
    <row r="10" customFormat="false" ht="15" hidden="false" customHeight="false" outlineLevel="0" collapsed="false">
      <c r="A10" s="18" t="s">
        <v>145</v>
      </c>
      <c r="B10" s="29" t="s">
        <v>88</v>
      </c>
      <c r="C10" s="35" t="n">
        <v>4</v>
      </c>
      <c r="D10" s="36" t="n">
        <f aca="false">C10</f>
        <v>4</v>
      </c>
      <c r="E10" s="37"/>
    </row>
    <row r="11" customFormat="false" ht="15" hidden="false" customHeight="false" outlineLevel="0" collapsed="false">
      <c r="A11" s="18" t="s">
        <v>146</v>
      </c>
      <c r="B11" s="29" t="s">
        <v>88</v>
      </c>
      <c r="C11" s="35" t="n">
        <v>3</v>
      </c>
      <c r="D11" s="36" t="n">
        <f aca="false">C11*Control!$J$16</f>
        <v>3</v>
      </c>
      <c r="E11" s="37"/>
    </row>
    <row r="13" customFormat="false" ht="15" hidden="false" customHeight="false" outlineLevel="0" collapsed="false">
      <c r="A13" s="8" t="s">
        <v>99</v>
      </c>
    </row>
    <row r="14" customFormat="false" ht="30" hidden="false" customHeight="true" outlineLevel="0" collapsed="false">
      <c r="A14" s="9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105</v>
      </c>
      <c r="G14" s="9" t="s">
        <v>74</v>
      </c>
      <c r="H14" s="9" t="s">
        <v>53</v>
      </c>
      <c r="I14" s="9" t="s">
        <v>106</v>
      </c>
    </row>
    <row r="15" customFormat="false" ht="27.75" hidden="false" customHeight="true" outlineLevel="0" collapsed="false">
      <c r="A15" s="18" t="s">
        <v>147</v>
      </c>
      <c r="B15" s="44" t="n">
        <f aca="false">IFERROR($D$7,0)</f>
        <v>6</v>
      </c>
      <c r="C15" s="38" t="n">
        <v>4</v>
      </c>
      <c r="D15" s="38" t="n">
        <v>24</v>
      </c>
      <c r="E15" s="42" t="s">
        <v>111</v>
      </c>
      <c r="F15" s="43" t="n">
        <f aca="false">IF(C15=D15,IF(B15&gt;=C15,100,0),MAX(0,MIN(100,(B15-D15)/(C15-D15)*100)))</f>
        <v>90</v>
      </c>
      <c r="G15" s="29" t="str">
        <f aca="false">IF(F15&gt;=Control!$B$19,"GREEN",IF(F15&gt;=Control!$B$20,"AMBER","RED"))</f>
        <v>GREEN</v>
      </c>
      <c r="H15" s="19" t="n">
        <v>2</v>
      </c>
      <c r="I15" s="13" t="s">
        <v>148</v>
      </c>
    </row>
    <row r="16" customFormat="false" ht="27.75" hidden="false" customHeight="true" outlineLevel="0" collapsed="false">
      <c r="A16" s="18" t="s">
        <v>149</v>
      </c>
      <c r="B16" s="40" t="n">
        <f aca="false">IFERROR($D$8,0)</f>
        <v>0.78</v>
      </c>
      <c r="C16" s="41" t="n">
        <v>0.8</v>
      </c>
      <c r="D16" s="41" t="n">
        <v>0.55</v>
      </c>
      <c r="E16" s="42" t="s">
        <v>108</v>
      </c>
      <c r="F16" s="43" t="n">
        <f aca="false">IF(C16=D16,IF(B16&gt;=C16,100,0),MAX(0,MIN(100,(B16-D16)/(C16-D16)*100)))</f>
        <v>92</v>
      </c>
      <c r="G16" s="29" t="str">
        <f aca="false">IF(F16&gt;=Control!$B$19,"GREEN",IF(F16&gt;=Control!$B$20,"AMBER","RED"))</f>
        <v>GREEN</v>
      </c>
      <c r="H16" s="19" t="n">
        <v>2</v>
      </c>
      <c r="I16" s="13" t="s">
        <v>150</v>
      </c>
    </row>
    <row r="17" customFormat="false" ht="27.75" hidden="false" customHeight="true" outlineLevel="0" collapsed="false">
      <c r="A17" s="18" t="s">
        <v>151</v>
      </c>
      <c r="B17" s="40" t="n">
        <f aca="false">IFERROR($D$10/$D$9,0)</f>
        <v>0.8</v>
      </c>
      <c r="C17" s="41" t="n">
        <v>1</v>
      </c>
      <c r="D17" s="41" t="n">
        <v>0.5</v>
      </c>
      <c r="E17" s="42" t="s">
        <v>108</v>
      </c>
      <c r="F17" s="43" t="n">
        <f aca="false">IF(C17=D17,IF(B17&gt;=C17,100,0),MAX(0,MIN(100,(B17-D17)/(C17-D17)*100)))</f>
        <v>60</v>
      </c>
      <c r="G17" s="29" t="str">
        <f aca="false">IF(F17&gt;=Control!$B$19,"GREEN",IF(F17&gt;=Control!$B$20,"AMBER","RED"))</f>
        <v>AMBER</v>
      </c>
      <c r="H17" s="19" t="n">
        <v>1</v>
      </c>
      <c r="I17" s="13" t="s">
        <v>152</v>
      </c>
    </row>
    <row r="18" customFormat="false" ht="27.75" hidden="false" customHeight="true" outlineLevel="0" collapsed="false">
      <c r="A18" s="18" t="s">
        <v>153</v>
      </c>
      <c r="B18" s="45" t="n">
        <f aca="false">IFERROR($D$11,0)</f>
        <v>3</v>
      </c>
      <c r="C18" s="35" t="n">
        <v>1</v>
      </c>
      <c r="D18" s="35" t="n">
        <v>6</v>
      </c>
      <c r="E18" s="42" t="s">
        <v>111</v>
      </c>
      <c r="F18" s="43" t="n">
        <f aca="false">IF(C18=D18,IF(B18&gt;=C18,100,0),MAX(0,MIN(100,(B18-D18)/(C18-D18)*100)))</f>
        <v>60</v>
      </c>
      <c r="G18" s="29" t="str">
        <f aca="false">IF(F18&gt;=Control!$B$19,"GREEN",IF(F18&gt;=Control!$B$20,"AMBER","RED"))</f>
        <v>AMBER</v>
      </c>
      <c r="H18" s="19" t="n">
        <v>1</v>
      </c>
      <c r="I18" s="13" t="s">
        <v>154</v>
      </c>
    </row>
    <row r="20" customFormat="false" ht="15" hidden="false" customHeight="false" outlineLevel="0" collapsed="false">
      <c r="A20" s="23" t="s">
        <v>116</v>
      </c>
      <c r="B20" s="46" t="n">
        <f aca="false">SUMPRODUCT($F$15:$F$18,$H$15:$H$18)/SUM($H$15:$H$18)</f>
        <v>80.6666666666667</v>
      </c>
    </row>
    <row r="21" customFormat="false" ht="15" hidden="false" customHeight="false" outlineLevel="0" collapsed="false">
      <c r="A21" s="23" t="s">
        <v>117</v>
      </c>
      <c r="B21" s="25" t="str">
        <f aca="false">IF(B20&gt;=Control!$B$19,"GREEN",IF(B20&gt;=Control!$B$20,"AMBER","RED"))</f>
        <v>GREEN</v>
      </c>
    </row>
    <row r="22" customFormat="false" ht="15" hidden="false" customHeight="false" outlineLevel="0" collapsed="false">
      <c r="A22" s="23" t="s">
        <v>118</v>
      </c>
      <c r="B22" s="6" t="str">
        <f aca="false">INDEX($A$15:$A$18,MATCH(MIN($F$15:$F$18),$F$15:$F$18,0))</f>
        <v>Holding-statement coverage</v>
      </c>
    </row>
    <row r="23" customFormat="false" ht="31.5" hidden="false" customHeight="true" outlineLevel="0" collapsed="false">
      <c r="A23" s="47" t="s">
        <v>119</v>
      </c>
      <c r="B23" s="22" t="str">
        <f aca="false">IF(MIN($F$15:$F$18)&gt;=Control!$B$19,"Sector healthy. Keep the quarterly review and watch: "&amp;B22,INDEX($I$15:$I$18,MATCH(MIN($F$15:$F$18),$F$15:$F$18,0)))</f>
        <v>Draft and pre-approve holding statements for every identified crisis scenario.</v>
      </c>
      <c r="C23" s="22"/>
      <c r="D23" s="22"/>
      <c r="E23" s="22"/>
      <c r="F23" s="22"/>
      <c r="G23" s="22"/>
      <c r="H23" s="22"/>
      <c r="I23" s="22"/>
    </row>
  </sheetData>
  <mergeCells count="2">
    <mergeCell ref="A2:I2"/>
    <mergeCell ref="B23:I23"/>
  </mergeCells>
  <conditionalFormatting sqref="G15:G18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1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155</v>
      </c>
    </row>
    <row r="2" customFormat="false" ht="30" hidden="false" customHeight="true" outlineLevel="0" collapsed="false">
      <c r="A2" s="33" t="s">
        <v>156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157</v>
      </c>
      <c r="B7" s="29" t="s">
        <v>88</v>
      </c>
      <c r="C7" s="35" t="n">
        <v>24</v>
      </c>
      <c r="D7" s="36" t="n">
        <f aca="false">C7</f>
        <v>24</v>
      </c>
      <c r="E7" s="37"/>
    </row>
    <row r="8" customFormat="false" ht="15" hidden="false" customHeight="false" outlineLevel="0" collapsed="false">
      <c r="A8" s="18" t="s">
        <v>158</v>
      </c>
      <c r="B8" s="29" t="s">
        <v>88</v>
      </c>
      <c r="C8" s="35" t="n">
        <v>20</v>
      </c>
      <c r="D8" s="36" t="n">
        <f aca="false">C8</f>
        <v>20</v>
      </c>
      <c r="E8" s="37"/>
    </row>
    <row r="9" customFormat="false" ht="15" hidden="false" customHeight="false" outlineLevel="0" collapsed="false">
      <c r="A9" s="18" t="s">
        <v>159</v>
      </c>
      <c r="B9" s="29" t="s">
        <v>88</v>
      </c>
      <c r="C9" s="35" t="n">
        <v>5</v>
      </c>
      <c r="D9" s="36" t="n">
        <f aca="false">C9*Control!$J$16</f>
        <v>5</v>
      </c>
      <c r="E9" s="37"/>
    </row>
    <row r="10" customFormat="false" ht="15" hidden="false" customHeight="false" outlineLevel="0" collapsed="false">
      <c r="A10" s="18" t="s">
        <v>160</v>
      </c>
      <c r="B10" s="29" t="s">
        <v>88</v>
      </c>
      <c r="C10" s="35" t="n">
        <v>4</v>
      </c>
      <c r="D10" s="36" t="n">
        <f aca="false">C10</f>
        <v>4</v>
      </c>
      <c r="E10" s="37"/>
    </row>
    <row r="11" customFormat="false" ht="15" hidden="false" customHeight="false" outlineLevel="0" collapsed="false">
      <c r="A11" s="18" t="s">
        <v>161</v>
      </c>
      <c r="B11" s="29" t="s">
        <v>88</v>
      </c>
      <c r="C11" s="35" t="n">
        <v>7</v>
      </c>
      <c r="D11" s="36" t="n">
        <f aca="false">C11</f>
        <v>7</v>
      </c>
      <c r="E11" s="37" t="s">
        <v>162</v>
      </c>
    </row>
    <row r="12" customFormat="false" ht="15" hidden="false" customHeight="false" outlineLevel="0" collapsed="false">
      <c r="A12" s="18" t="s">
        <v>163</v>
      </c>
      <c r="B12" s="29" t="s">
        <v>88</v>
      </c>
      <c r="C12" s="35" t="n">
        <v>8</v>
      </c>
      <c r="D12" s="36" t="n">
        <f aca="false">C12</f>
        <v>8</v>
      </c>
      <c r="E12" s="37"/>
    </row>
    <row r="14" customFormat="false" ht="15" hidden="false" customHeight="false" outlineLevel="0" collapsed="false">
      <c r="A14" s="8" t="s">
        <v>99</v>
      </c>
    </row>
    <row r="15" customFormat="false" ht="30" hidden="false" customHeight="true" outlineLevel="0" collapsed="false">
      <c r="A15" s="9" t="s">
        <v>100</v>
      </c>
      <c r="B15" s="9" t="s">
        <v>101</v>
      </c>
      <c r="C15" s="9" t="s">
        <v>102</v>
      </c>
      <c r="D15" s="9" t="s">
        <v>103</v>
      </c>
      <c r="E15" s="9" t="s">
        <v>104</v>
      </c>
      <c r="F15" s="9" t="s">
        <v>105</v>
      </c>
      <c r="G15" s="9" t="s">
        <v>74</v>
      </c>
      <c r="H15" s="9" t="s">
        <v>53</v>
      </c>
      <c r="I15" s="9" t="s">
        <v>106</v>
      </c>
    </row>
    <row r="16" customFormat="false" ht="27.75" hidden="false" customHeight="true" outlineLevel="0" collapsed="false">
      <c r="A16" s="18" t="s">
        <v>164</v>
      </c>
      <c r="B16" s="40" t="n">
        <f aca="false">IFERROR($D$8/$D$7,0)</f>
        <v>0.833333333333333</v>
      </c>
      <c r="C16" s="41" t="n">
        <v>0.95</v>
      </c>
      <c r="D16" s="41" t="n">
        <v>0.6</v>
      </c>
      <c r="E16" s="42" t="s">
        <v>108</v>
      </c>
      <c r="F16" s="43" t="n">
        <f aca="false">IF(C16=D16,IF(B16&gt;=C16,100,0),MAX(0,MIN(100,(B16-D16)/(C16-D16)*100)))</f>
        <v>66.6666666666667</v>
      </c>
      <c r="G16" s="29" t="str">
        <f aca="false">IF(F16&gt;=Control!$B$19,"GREEN",IF(F16&gt;=Control!$B$20,"AMBER","RED"))</f>
        <v>AMBER</v>
      </c>
      <c r="H16" s="19" t="n">
        <v>2</v>
      </c>
      <c r="I16" s="13" t="s">
        <v>165</v>
      </c>
    </row>
    <row r="17" customFormat="false" ht="27.75" hidden="false" customHeight="true" outlineLevel="0" collapsed="false">
      <c r="A17" s="18" t="s">
        <v>166</v>
      </c>
      <c r="B17" s="40" t="n">
        <f aca="false">IFERROR(IF($D$9=0,1,MIN(1,$D$10/$D$9)),0)</f>
        <v>0.8</v>
      </c>
      <c r="C17" s="41" t="n">
        <v>0.9</v>
      </c>
      <c r="D17" s="41" t="n">
        <v>0.5</v>
      </c>
      <c r="E17" s="42" t="s">
        <v>108</v>
      </c>
      <c r="F17" s="43" t="n">
        <f aca="false">IF(C17=D17,IF(B17&gt;=C17,100,0),MAX(0,MIN(100,(B17-D17)/(C17-D17)*100)))</f>
        <v>75</v>
      </c>
      <c r="G17" s="29" t="str">
        <f aca="false">IF(F17&gt;=Control!$B$19,"GREEN",IF(F17&gt;=Control!$B$20,"AMBER","RED"))</f>
        <v>GREEN</v>
      </c>
      <c r="H17" s="19" t="n">
        <v>2</v>
      </c>
      <c r="I17" s="13" t="s">
        <v>167</v>
      </c>
    </row>
    <row r="18" customFormat="false" ht="27.75" hidden="false" customHeight="true" outlineLevel="0" collapsed="false">
      <c r="A18" s="18" t="s">
        <v>168</v>
      </c>
      <c r="B18" s="40" t="n">
        <f aca="false">IFERROR($D$11/$D$12,0)</f>
        <v>0.875</v>
      </c>
      <c r="C18" s="41" t="n">
        <v>1</v>
      </c>
      <c r="D18" s="41" t="n">
        <v>0.6</v>
      </c>
      <c r="E18" s="42" t="s">
        <v>108</v>
      </c>
      <c r="F18" s="43" t="n">
        <f aca="false">IF(C18=D18,IF(B18&gt;=C18,100,0),MAX(0,MIN(100,(B18-D18)/(C18-D18)*100)))</f>
        <v>68.75</v>
      </c>
      <c r="G18" s="29" t="str">
        <f aca="false">IF(F18&gt;=Control!$B$19,"GREEN",IF(F18&gt;=Control!$B$20,"AMBER","RED"))</f>
        <v>AMBER</v>
      </c>
      <c r="H18" s="19" t="n">
        <v>1</v>
      </c>
      <c r="I18" s="13" t="s">
        <v>169</v>
      </c>
    </row>
    <row r="20" customFormat="false" ht="15" hidden="false" customHeight="false" outlineLevel="0" collapsed="false">
      <c r="A20" s="23" t="s">
        <v>116</v>
      </c>
      <c r="B20" s="46" t="n">
        <f aca="false">SUMPRODUCT($F$16:$F$18,$H$16:$H$18)/SUM($H$16:$H$18)</f>
        <v>70.4166666666667</v>
      </c>
    </row>
    <row r="21" customFormat="false" ht="15" hidden="false" customHeight="false" outlineLevel="0" collapsed="false">
      <c r="A21" s="23" t="s">
        <v>117</v>
      </c>
      <c r="B21" s="25" t="str">
        <f aca="false">IF(B20&gt;=Control!$B$19,"GREEN",IF(B20&gt;=Control!$B$20,"AMBER","RED"))</f>
        <v>GREEN</v>
      </c>
    </row>
    <row r="22" customFormat="false" ht="15" hidden="false" customHeight="false" outlineLevel="0" collapsed="false">
      <c r="A22" s="23" t="s">
        <v>118</v>
      </c>
      <c r="B22" s="6" t="str">
        <f aca="false">INDEX($A$16:$A$18,MATCH(MIN($F$16:$F$18),$F$16:$F$18,0))</f>
        <v>Public-interest test coverage</v>
      </c>
    </row>
    <row r="23" customFormat="false" ht="31.5" hidden="false" customHeight="true" outlineLevel="0" collapsed="false">
      <c r="A23" s="47" t="s">
        <v>119</v>
      </c>
      <c r="B23" s="22" t="str">
        <f aca="false">IF(MIN($F$16:$F$18)&gt;=Control!$B$19,"Sector healthy. Keep the quarterly review and watch: "&amp;B22,INDEX($I$16:$I$18,MATCH(MIN($F$16:$F$18),$F$16:$F$18,0)))</f>
        <v>Add a mandatory public-interest box to every board paper.</v>
      </c>
      <c r="C23" s="22"/>
      <c r="D23" s="22"/>
      <c r="E23" s="22"/>
      <c r="F23" s="22"/>
      <c r="G23" s="22"/>
      <c r="H23" s="22"/>
      <c r="I23" s="22"/>
    </row>
  </sheetData>
  <mergeCells count="2">
    <mergeCell ref="A2:I2"/>
    <mergeCell ref="B23:I23"/>
  </mergeCells>
  <conditionalFormatting sqref="G16:G18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1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170</v>
      </c>
    </row>
    <row r="2" customFormat="false" ht="30" hidden="false" customHeight="true" outlineLevel="0" collapsed="false">
      <c r="A2" s="33" t="s">
        <v>171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172</v>
      </c>
      <c r="B7" s="29" t="s">
        <v>173</v>
      </c>
      <c r="C7" s="35" t="n">
        <v>420</v>
      </c>
      <c r="D7" s="36" t="n">
        <f aca="false">C7</f>
        <v>420</v>
      </c>
      <c r="E7" s="37"/>
    </row>
    <row r="8" customFormat="false" ht="15" hidden="false" customHeight="false" outlineLevel="0" collapsed="false">
      <c r="A8" s="18" t="s">
        <v>174</v>
      </c>
      <c r="B8" s="29" t="s">
        <v>88</v>
      </c>
      <c r="C8" s="35" t="n">
        <v>30</v>
      </c>
      <c r="D8" s="36" t="n">
        <f aca="false">C8</f>
        <v>30</v>
      </c>
      <c r="E8" s="37"/>
    </row>
    <row r="9" customFormat="false" ht="15" hidden="false" customHeight="false" outlineLevel="0" collapsed="false">
      <c r="A9" s="18" t="s">
        <v>175</v>
      </c>
      <c r="B9" s="29" t="s">
        <v>88</v>
      </c>
      <c r="C9" s="35" t="n">
        <v>22</v>
      </c>
      <c r="D9" s="36" t="n">
        <f aca="false">C9</f>
        <v>22</v>
      </c>
      <c r="E9" s="37"/>
    </row>
    <row r="10" customFormat="false" ht="15" hidden="false" customHeight="false" outlineLevel="0" collapsed="false">
      <c r="A10" s="18" t="s">
        <v>176</v>
      </c>
      <c r="B10" s="29" t="s">
        <v>173</v>
      </c>
      <c r="C10" s="35" t="n">
        <v>34</v>
      </c>
      <c r="D10" s="36" t="n">
        <f aca="false">C10*Control!$F$16</f>
        <v>34</v>
      </c>
      <c r="E10" s="37"/>
    </row>
    <row r="11" customFormat="false" ht="15" hidden="false" customHeight="false" outlineLevel="0" collapsed="false">
      <c r="A11" s="18" t="s">
        <v>177</v>
      </c>
      <c r="B11" s="29" t="s">
        <v>173</v>
      </c>
      <c r="C11" s="35" t="n">
        <v>8</v>
      </c>
      <c r="D11" s="36" t="n">
        <f aca="false">C11*Control!$F$16</f>
        <v>8</v>
      </c>
      <c r="E11" s="37" t="s">
        <v>178</v>
      </c>
    </row>
    <row r="12" customFormat="false" ht="15" hidden="false" customHeight="false" outlineLevel="0" collapsed="false">
      <c r="A12" s="18" t="s">
        <v>179</v>
      </c>
      <c r="B12" s="29" t="s">
        <v>98</v>
      </c>
      <c r="C12" s="38" t="n">
        <v>48</v>
      </c>
      <c r="D12" s="39" t="n">
        <f aca="false">C12*(1+(Control!$F$16-1)*0.5)</f>
        <v>48</v>
      </c>
      <c r="E12" s="37"/>
    </row>
    <row r="13" customFormat="false" ht="15" hidden="false" customHeight="false" outlineLevel="0" collapsed="false">
      <c r="A13" s="18" t="s">
        <v>180</v>
      </c>
      <c r="B13" s="29" t="s">
        <v>141</v>
      </c>
      <c r="C13" s="41" t="n">
        <v>0.74</v>
      </c>
      <c r="D13" s="48" t="n">
        <f aca="false">C13*(1-(Control!$F$16-1)*0.05)</f>
        <v>0.74</v>
      </c>
      <c r="E13" s="37"/>
    </row>
    <row r="15" customFormat="false" ht="15" hidden="false" customHeight="false" outlineLevel="0" collapsed="false">
      <c r="A15" s="8" t="s">
        <v>99</v>
      </c>
    </row>
    <row r="16" customFormat="false" ht="30" hidden="false" customHeight="true" outlineLevel="0" collapsed="false">
      <c r="A16" s="9" t="s">
        <v>100</v>
      </c>
      <c r="B16" s="9" t="s">
        <v>101</v>
      </c>
      <c r="C16" s="9" t="s">
        <v>102</v>
      </c>
      <c r="D16" s="9" t="s">
        <v>103</v>
      </c>
      <c r="E16" s="9" t="s">
        <v>104</v>
      </c>
      <c r="F16" s="9" t="s">
        <v>105</v>
      </c>
      <c r="G16" s="9" t="s">
        <v>74</v>
      </c>
      <c r="H16" s="9" t="s">
        <v>53</v>
      </c>
      <c r="I16" s="9" t="s">
        <v>106</v>
      </c>
    </row>
    <row r="17" customFormat="false" ht="27.75" hidden="false" customHeight="true" outlineLevel="0" collapsed="false">
      <c r="A17" s="18" t="s">
        <v>181</v>
      </c>
      <c r="B17" s="40" t="n">
        <f aca="false">IFERROR($D$9/$D$8,0)</f>
        <v>0.733333333333333</v>
      </c>
      <c r="C17" s="41" t="n">
        <v>0.85</v>
      </c>
      <c r="D17" s="41" t="n">
        <v>0.5</v>
      </c>
      <c r="E17" s="42" t="s">
        <v>108</v>
      </c>
      <c r="F17" s="43" t="n">
        <f aca="false">IF(C17=D17,IF(B17&gt;=C17,100,0),MAX(0,MIN(100,(B17-D17)/(C17-D17)*100)))</f>
        <v>66.6666666666667</v>
      </c>
      <c r="G17" s="29" t="str">
        <f aca="false">IF(F17&gt;=Control!$B$19,"GREEN",IF(F17&gt;=Control!$B$20,"AMBER","RED"))</f>
        <v>AMBER</v>
      </c>
      <c r="H17" s="19" t="n">
        <v>3</v>
      </c>
      <c r="I17" s="13" t="s">
        <v>182</v>
      </c>
    </row>
    <row r="18" customFormat="false" ht="27.75" hidden="false" customHeight="true" outlineLevel="0" collapsed="false">
      <c r="A18" s="18" t="s">
        <v>183</v>
      </c>
      <c r="B18" s="40" t="n">
        <f aca="false">IFERROR($D$10/$D$7,0)</f>
        <v>0.080952380952381</v>
      </c>
      <c r="C18" s="41" t="n">
        <v>0.08</v>
      </c>
      <c r="D18" s="41" t="n">
        <v>0.2</v>
      </c>
      <c r="E18" s="42" t="s">
        <v>111</v>
      </c>
      <c r="F18" s="43" t="n">
        <f aca="false">IF(C18=D18,IF(B18&gt;=C18,100,0),MAX(0,MIN(100,(B18-D18)/(C18-D18)*100)))</f>
        <v>99.2063492063492</v>
      </c>
      <c r="G18" s="29" t="str">
        <f aca="false">IF(F18&gt;=Control!$B$19,"GREEN",IF(F18&gt;=Control!$B$20,"AMBER","RED"))</f>
        <v>GREEN</v>
      </c>
      <c r="H18" s="19" t="n">
        <v>2</v>
      </c>
      <c r="I18" s="13" t="s">
        <v>184</v>
      </c>
    </row>
    <row r="19" customFormat="false" ht="27.75" hidden="false" customHeight="true" outlineLevel="0" collapsed="false">
      <c r="A19" s="18" t="s">
        <v>185</v>
      </c>
      <c r="B19" s="40" t="n">
        <f aca="false">IFERROR($D$11/$D$7,0)</f>
        <v>0.0190476190476191</v>
      </c>
      <c r="C19" s="41" t="n">
        <v>0.015</v>
      </c>
      <c r="D19" s="41" t="n">
        <v>0.06</v>
      </c>
      <c r="E19" s="42" t="s">
        <v>111</v>
      </c>
      <c r="F19" s="43" t="n">
        <f aca="false">IF(C19=D19,IF(B19&gt;=C19,100,0),MAX(0,MIN(100,(B19-D19)/(C19-D19)*100)))</f>
        <v>91.005291005291</v>
      </c>
      <c r="G19" s="29" t="str">
        <f aca="false">IF(F19&gt;=Control!$B$19,"GREEN",IF(F19&gt;=Control!$B$20,"AMBER","RED"))</f>
        <v>GREEN</v>
      </c>
      <c r="H19" s="19" t="n">
        <v>2</v>
      </c>
      <c r="I19" s="13" t="s">
        <v>186</v>
      </c>
    </row>
    <row r="20" customFormat="false" ht="27.75" hidden="false" customHeight="true" outlineLevel="0" collapsed="false">
      <c r="A20" s="18" t="s">
        <v>187</v>
      </c>
      <c r="B20" s="44" t="n">
        <f aca="false">IFERROR($D$12,0)</f>
        <v>48</v>
      </c>
      <c r="C20" s="38" t="n">
        <v>40</v>
      </c>
      <c r="D20" s="38" t="n">
        <v>90</v>
      </c>
      <c r="E20" s="42" t="s">
        <v>111</v>
      </c>
      <c r="F20" s="43" t="n">
        <f aca="false">IF(C20=D20,IF(B20&gt;=C20,100,0),MAX(0,MIN(100,(B20-D20)/(C20-D20)*100)))</f>
        <v>84</v>
      </c>
      <c r="G20" s="29" t="str">
        <f aca="false">IF(F20&gt;=Control!$B$19,"GREEN",IF(F20&gt;=Control!$B$20,"AMBER","RED"))</f>
        <v>GREEN</v>
      </c>
      <c r="H20" s="19" t="n">
        <v>1</v>
      </c>
      <c r="I20" s="13" t="s">
        <v>188</v>
      </c>
    </row>
    <row r="21" customFormat="false" ht="27.75" hidden="false" customHeight="true" outlineLevel="0" collapsed="false">
      <c r="A21" s="18" t="s">
        <v>189</v>
      </c>
      <c r="B21" s="40" t="n">
        <f aca="false">IFERROR($D$13,0)</f>
        <v>0.74</v>
      </c>
      <c r="C21" s="41" t="n">
        <v>0.78</v>
      </c>
      <c r="D21" s="41" t="n">
        <v>0.55</v>
      </c>
      <c r="E21" s="42" t="s">
        <v>108</v>
      </c>
      <c r="F21" s="43" t="n">
        <f aca="false">IF(C21=D21,IF(B21&gt;=C21,100,0),MAX(0,MIN(100,(B21-D21)/(C21-D21)*100)))</f>
        <v>82.6086956521739</v>
      </c>
      <c r="G21" s="29" t="str">
        <f aca="false">IF(F21&gt;=Control!$B$19,"GREEN",IF(F21&gt;=Control!$B$20,"AMBER","RED"))</f>
        <v>GREEN</v>
      </c>
      <c r="H21" s="19" t="n">
        <v>1</v>
      </c>
      <c r="I21" s="13" t="s">
        <v>190</v>
      </c>
    </row>
    <row r="23" customFormat="false" ht="15" hidden="false" customHeight="false" outlineLevel="0" collapsed="false">
      <c r="A23" s="23" t="s">
        <v>116</v>
      </c>
      <c r="B23" s="46" t="n">
        <f aca="false">SUMPRODUCT($F$17:$F$21,$H$17:$H$21)/SUM($H$17:$H$21)</f>
        <v>83.0035528972727</v>
      </c>
    </row>
    <row r="24" customFormat="false" ht="15" hidden="false" customHeight="false" outlineLevel="0" collapsed="false">
      <c r="A24" s="23" t="s">
        <v>117</v>
      </c>
      <c r="B24" s="25" t="str">
        <f aca="false">IF(B23&gt;=Control!$B$19,"GREEN",IF(B23&gt;=Control!$B$20,"AMBER","RED"))</f>
        <v>GREEN</v>
      </c>
    </row>
    <row r="25" customFormat="false" ht="15" hidden="false" customHeight="false" outlineLevel="0" collapsed="false">
      <c r="A25" s="23" t="s">
        <v>118</v>
      </c>
      <c r="B25" s="6" t="str">
        <f aca="false">INDEX($A$17:$A$21,MATCH(MIN($F$17:$F$21),$F$17:$F$21,0))</f>
        <v>Succession coverage</v>
      </c>
    </row>
    <row r="26" customFormat="false" ht="31.5" hidden="false" customHeight="true" outlineLevel="0" collapsed="false">
      <c r="A26" s="47" t="s">
        <v>119</v>
      </c>
      <c r="B26" s="22" t="str">
        <f aca="false">IF(MIN($F$17:$F$21)&gt;=Control!$B$19,"Sector healthy. Keep the quarterly review and watch: "&amp;B25,INDEX($I$17:$I$21,MATCH(MIN($F$17:$F$21),$F$17:$F$21,0)))</f>
        <v>Name a successor and an emergency backup for every critical role; start rotation plans.</v>
      </c>
      <c r="C26" s="22"/>
      <c r="D26" s="22"/>
      <c r="E26" s="22"/>
      <c r="F26" s="22"/>
      <c r="G26" s="22"/>
      <c r="H26" s="22"/>
      <c r="I26" s="22"/>
    </row>
  </sheetData>
  <mergeCells count="2">
    <mergeCell ref="A2:I2"/>
    <mergeCell ref="B26:I26"/>
  </mergeCells>
  <conditionalFormatting sqref="G17:G21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4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191</v>
      </c>
    </row>
    <row r="2" customFormat="false" ht="30" hidden="false" customHeight="true" outlineLevel="0" collapsed="false">
      <c r="A2" s="33" t="s">
        <v>192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193</v>
      </c>
      <c r="B7" s="29" t="s">
        <v>173</v>
      </c>
      <c r="C7" s="35" t="n">
        <v>11</v>
      </c>
      <c r="D7" s="36" t="n">
        <f aca="false">C7</f>
        <v>11</v>
      </c>
      <c r="E7" s="37"/>
    </row>
    <row r="8" customFormat="false" ht="15" hidden="false" customHeight="false" outlineLevel="0" collapsed="false">
      <c r="A8" s="18" t="s">
        <v>194</v>
      </c>
      <c r="B8" s="29" t="s">
        <v>88</v>
      </c>
      <c r="C8" s="35" t="n">
        <v>11</v>
      </c>
      <c r="D8" s="36" t="n">
        <f aca="false">C8</f>
        <v>11</v>
      </c>
      <c r="E8" s="37"/>
    </row>
    <row r="9" customFormat="false" ht="15" hidden="false" customHeight="false" outlineLevel="0" collapsed="false">
      <c r="A9" s="18" t="s">
        <v>195</v>
      </c>
      <c r="B9" s="29" t="s">
        <v>88</v>
      </c>
      <c r="C9" s="35" t="n">
        <v>14</v>
      </c>
      <c r="D9" s="36" t="n">
        <f aca="false">C9</f>
        <v>14</v>
      </c>
      <c r="E9" s="37"/>
    </row>
    <row r="10" customFormat="false" ht="15" hidden="false" customHeight="false" outlineLevel="0" collapsed="false">
      <c r="A10" s="18" t="s">
        <v>196</v>
      </c>
      <c r="B10" s="29" t="s">
        <v>88</v>
      </c>
      <c r="C10" s="35" t="n">
        <v>1</v>
      </c>
      <c r="D10" s="36" t="n">
        <f aca="false">C10*Control!$J$16</f>
        <v>1</v>
      </c>
      <c r="E10" s="37"/>
    </row>
    <row r="11" customFormat="false" ht="15" hidden="false" customHeight="false" outlineLevel="0" collapsed="false">
      <c r="A11" s="18" t="s">
        <v>197</v>
      </c>
      <c r="B11" s="29" t="s">
        <v>173</v>
      </c>
      <c r="C11" s="35" t="n">
        <v>1</v>
      </c>
      <c r="D11" s="36" t="n">
        <f aca="false">C11</f>
        <v>1</v>
      </c>
      <c r="E11" s="37"/>
    </row>
    <row r="12" customFormat="false" ht="15" hidden="false" customHeight="false" outlineLevel="0" collapsed="false">
      <c r="A12" s="18" t="s">
        <v>198</v>
      </c>
      <c r="B12" s="29" t="s">
        <v>141</v>
      </c>
      <c r="C12" s="41" t="n">
        <v>0.91</v>
      </c>
      <c r="D12" s="48" t="n">
        <f aca="false">C12*(1-(Control!$J$16-1)*0.04)</f>
        <v>0.91</v>
      </c>
      <c r="E12" s="37"/>
    </row>
    <row r="13" customFormat="false" ht="15" hidden="false" customHeight="false" outlineLevel="0" collapsed="false">
      <c r="A13" s="18" t="s">
        <v>199</v>
      </c>
      <c r="B13" s="29" t="s">
        <v>88</v>
      </c>
      <c r="C13" s="35" t="n">
        <v>9</v>
      </c>
      <c r="D13" s="36" t="n">
        <f aca="false">C13</f>
        <v>9</v>
      </c>
      <c r="E13" s="37"/>
    </row>
    <row r="14" customFormat="false" ht="15" hidden="false" customHeight="false" outlineLevel="0" collapsed="false">
      <c r="A14" s="18" t="s">
        <v>200</v>
      </c>
      <c r="B14" s="29" t="s">
        <v>88</v>
      </c>
      <c r="C14" s="35" t="n">
        <v>8</v>
      </c>
      <c r="D14" s="36" t="n">
        <f aca="false">C14</f>
        <v>8</v>
      </c>
      <c r="E14" s="37"/>
    </row>
    <row r="16" customFormat="false" ht="15" hidden="false" customHeight="false" outlineLevel="0" collapsed="false">
      <c r="A16" s="8" t="s">
        <v>99</v>
      </c>
    </row>
    <row r="17" customFormat="false" ht="30" hidden="false" customHeight="true" outlineLevel="0" collapsed="false">
      <c r="A17" s="9" t="s">
        <v>100</v>
      </c>
      <c r="B17" s="9" t="s">
        <v>101</v>
      </c>
      <c r="C17" s="9" t="s">
        <v>102</v>
      </c>
      <c r="D17" s="9" t="s">
        <v>103</v>
      </c>
      <c r="E17" s="9" t="s">
        <v>104</v>
      </c>
      <c r="F17" s="9" t="s">
        <v>105</v>
      </c>
      <c r="G17" s="9" t="s">
        <v>74</v>
      </c>
      <c r="H17" s="9" t="s">
        <v>53</v>
      </c>
      <c r="I17" s="9" t="s">
        <v>106</v>
      </c>
    </row>
    <row r="18" customFormat="false" ht="27.75" hidden="false" customHeight="true" outlineLevel="0" collapsed="false">
      <c r="A18" s="18" t="s">
        <v>201</v>
      </c>
      <c r="B18" s="40" t="n">
        <f aca="false">IFERROR($D$8/$D$7,0)</f>
        <v>1</v>
      </c>
      <c r="C18" s="41" t="n">
        <v>1</v>
      </c>
      <c r="D18" s="41" t="n">
        <v>0.8</v>
      </c>
      <c r="E18" s="42" t="s">
        <v>108</v>
      </c>
      <c r="F18" s="43" t="n">
        <f aca="false">IF(C18=D18,IF(B18&gt;=C18,100,0),MAX(0,MIN(100,(B18-D18)/(C18-D18)*100)))</f>
        <v>100</v>
      </c>
      <c r="G18" s="29" t="str">
        <f aca="false">IF(F18&gt;=Control!$B$19,"GREEN",IF(F18&gt;=Control!$B$20,"AMBER","RED"))</f>
        <v>GREEN</v>
      </c>
      <c r="H18" s="19" t="n">
        <v>2</v>
      </c>
      <c r="I18" s="13" t="s">
        <v>202</v>
      </c>
    </row>
    <row r="19" customFormat="false" ht="27.75" hidden="false" customHeight="true" outlineLevel="0" collapsed="false">
      <c r="A19" s="18" t="s">
        <v>203</v>
      </c>
      <c r="B19" s="40" t="n">
        <f aca="false">IFERROR(1-$D$10/$D$9,0)</f>
        <v>0.928571428571429</v>
      </c>
      <c r="C19" s="41" t="n">
        <v>1</v>
      </c>
      <c r="D19" s="41" t="n">
        <v>0.85</v>
      </c>
      <c r="E19" s="42" t="s">
        <v>108</v>
      </c>
      <c r="F19" s="43" t="n">
        <f aca="false">IF(C19=D19,IF(B19&gt;=C19,100,0),MAX(0,MIN(100,(B19-D19)/(C19-D19)*100)))</f>
        <v>52.3809523809524</v>
      </c>
      <c r="G19" s="29" t="str">
        <f aca="false">IF(F19&gt;=Control!$B$19,"GREEN",IF(F19&gt;=Control!$B$20,"AMBER","RED"))</f>
        <v>AMBER</v>
      </c>
      <c r="H19" s="19" t="n">
        <v>3</v>
      </c>
      <c r="I19" s="13" t="s">
        <v>204</v>
      </c>
    </row>
    <row r="20" customFormat="false" ht="27.75" hidden="false" customHeight="true" outlineLevel="0" collapsed="false">
      <c r="A20" s="18" t="s">
        <v>205</v>
      </c>
      <c r="B20" s="40" t="n">
        <f aca="false">IFERROR($D$11/$D$7,0)</f>
        <v>0.0909090909090909</v>
      </c>
      <c r="C20" s="41" t="n">
        <v>0</v>
      </c>
      <c r="D20" s="41" t="n">
        <v>0.25</v>
      </c>
      <c r="E20" s="42" t="s">
        <v>111</v>
      </c>
      <c r="F20" s="43" t="n">
        <f aca="false">IF(C20=D20,IF(B20&gt;=C20,100,0),MAX(0,MIN(100,(B20-D20)/(C20-D20)*100)))</f>
        <v>63.6363636363636</v>
      </c>
      <c r="G20" s="29" t="str">
        <f aca="false">IF(F20&gt;=Control!$B$19,"GREEN",IF(F20&gt;=Control!$B$20,"AMBER","RED"))</f>
        <v>AMBER</v>
      </c>
      <c r="H20" s="19" t="n">
        <v>1</v>
      </c>
      <c r="I20" s="13" t="s">
        <v>206</v>
      </c>
    </row>
    <row r="21" customFormat="false" ht="27.75" hidden="false" customHeight="true" outlineLevel="0" collapsed="false">
      <c r="A21" s="18" t="s">
        <v>207</v>
      </c>
      <c r="B21" s="40" t="n">
        <f aca="false">IFERROR($D$12,0)</f>
        <v>0.91</v>
      </c>
      <c r="C21" s="41" t="n">
        <v>0.92</v>
      </c>
      <c r="D21" s="41" t="n">
        <v>0.7</v>
      </c>
      <c r="E21" s="42" t="s">
        <v>108</v>
      </c>
      <c r="F21" s="43" t="n">
        <f aca="false">IF(C21=D21,IF(B21&gt;=C21,100,0),MAX(0,MIN(100,(B21-D21)/(C21-D21)*100)))</f>
        <v>95.4545454545455</v>
      </c>
      <c r="G21" s="29" t="str">
        <f aca="false">IF(F21&gt;=Control!$B$19,"GREEN",IF(F21&gt;=Control!$B$20,"AMBER","RED"))</f>
        <v>GREEN</v>
      </c>
      <c r="H21" s="19" t="n">
        <v>1</v>
      </c>
      <c r="I21" s="13" t="s">
        <v>208</v>
      </c>
    </row>
    <row r="22" customFormat="false" ht="27.75" hidden="false" customHeight="true" outlineLevel="0" collapsed="false">
      <c r="A22" s="18" t="s">
        <v>209</v>
      </c>
      <c r="B22" s="40" t="n">
        <f aca="false">IFERROR($D$14/$D$13,0)</f>
        <v>0.888888888888889</v>
      </c>
      <c r="C22" s="41" t="n">
        <v>1</v>
      </c>
      <c r="D22" s="41" t="n">
        <v>0.7</v>
      </c>
      <c r="E22" s="42" t="s">
        <v>108</v>
      </c>
      <c r="F22" s="43" t="n">
        <f aca="false">IF(C22=D22,IF(B22&gt;=C22,100,0),MAX(0,MIN(100,(B22-D22)/(C22-D22)*100)))</f>
        <v>62.962962962963</v>
      </c>
      <c r="G22" s="29" t="str">
        <f aca="false">IF(F22&gt;=Control!$B$19,"GREEN",IF(F22&gt;=Control!$B$20,"AMBER","RED"))</f>
        <v>AMBER</v>
      </c>
      <c r="H22" s="19" t="n">
        <v>1</v>
      </c>
      <c r="I22" s="13" t="s">
        <v>210</v>
      </c>
    </row>
    <row r="24" customFormat="false" ht="15" hidden="false" customHeight="false" outlineLevel="0" collapsed="false">
      <c r="A24" s="23" t="s">
        <v>116</v>
      </c>
      <c r="B24" s="46" t="n">
        <f aca="false">SUMPRODUCT($F$18:$F$22,$H$18:$H$22)/SUM($H$18:$H$22)</f>
        <v>72.3995911495912</v>
      </c>
    </row>
    <row r="25" customFormat="false" ht="15" hidden="false" customHeight="false" outlineLevel="0" collapsed="false">
      <c r="A25" s="23" t="s">
        <v>117</v>
      </c>
      <c r="B25" s="25" t="str">
        <f aca="false">IF(B24&gt;=Control!$B$19,"GREEN",IF(B24&gt;=Control!$B$20,"AMBER","RED"))</f>
        <v>GREEN</v>
      </c>
    </row>
    <row r="26" customFormat="false" ht="15" hidden="false" customHeight="false" outlineLevel="0" collapsed="false">
      <c r="A26" s="23" t="s">
        <v>118</v>
      </c>
      <c r="B26" s="6" t="str">
        <f aca="false">INDEX($A$18:$A$22,MATCH(MIN($F$18:$F$22),$F$18:$F$22,0))</f>
        <v>Related-party transactions reviewed</v>
      </c>
    </row>
    <row r="27" customFormat="false" ht="31.5" hidden="false" customHeight="true" outlineLevel="0" collapsed="false">
      <c r="A27" s="47" t="s">
        <v>119</v>
      </c>
      <c r="B27" s="22" t="str">
        <f aca="false">IF(MIN($F$18:$F$22)&gt;=Control!$B$19,"Sector healthy. Keep the quarterly review and watch: "&amp;B26,INDEX($I$18:$I$22,MATCH(MIN($F$18:$F$22),$F$18:$F$22,0)))</f>
        <v>Route every related-party transaction through the committee; no retrospective approvals.</v>
      </c>
      <c r="C27" s="22"/>
      <c r="D27" s="22"/>
      <c r="E27" s="22"/>
      <c r="F27" s="22"/>
      <c r="G27" s="22"/>
      <c r="H27" s="22"/>
      <c r="I27" s="22"/>
    </row>
  </sheetData>
  <mergeCells count="2">
    <mergeCell ref="A2:I2"/>
    <mergeCell ref="B27:I27"/>
  </mergeCells>
  <conditionalFormatting sqref="G18:G22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5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211</v>
      </c>
    </row>
    <row r="2" customFormat="false" ht="30" hidden="false" customHeight="true" outlineLevel="0" collapsed="false">
      <c r="A2" s="33" t="s">
        <v>212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213</v>
      </c>
      <c r="B7" s="29" t="s">
        <v>173</v>
      </c>
      <c r="C7" s="35" t="n">
        <v>420</v>
      </c>
      <c r="D7" s="36" t="n">
        <f aca="false">C7</f>
        <v>420</v>
      </c>
      <c r="E7" s="37"/>
    </row>
    <row r="8" customFormat="false" ht="15" hidden="false" customHeight="false" outlineLevel="0" collapsed="false">
      <c r="A8" s="18" t="s">
        <v>214</v>
      </c>
      <c r="B8" s="29" t="s">
        <v>88</v>
      </c>
      <c r="C8" s="35" t="n">
        <v>12</v>
      </c>
      <c r="D8" s="36" t="n">
        <f aca="false">C8</f>
        <v>12</v>
      </c>
      <c r="E8" s="37"/>
    </row>
    <row r="9" customFormat="false" ht="15" hidden="false" customHeight="false" outlineLevel="0" collapsed="false">
      <c r="A9" s="18" t="s">
        <v>215</v>
      </c>
      <c r="B9" s="29" t="s">
        <v>88</v>
      </c>
      <c r="C9" s="35" t="n">
        <v>4</v>
      </c>
      <c r="D9" s="36" t="n">
        <f aca="false">C9*Control!$H$16</f>
        <v>4</v>
      </c>
      <c r="E9" s="37"/>
    </row>
    <row r="10" customFormat="false" ht="15" hidden="false" customHeight="false" outlineLevel="0" collapsed="false">
      <c r="A10" s="18" t="s">
        <v>216</v>
      </c>
      <c r="B10" s="29" t="s">
        <v>88</v>
      </c>
      <c r="C10" s="35" t="n">
        <v>12</v>
      </c>
      <c r="D10" s="36" t="n">
        <f aca="false">C10*Control!$H$16</f>
        <v>12</v>
      </c>
      <c r="E10" s="37"/>
    </row>
    <row r="11" customFormat="false" ht="15" hidden="false" customHeight="false" outlineLevel="0" collapsed="false">
      <c r="A11" s="18" t="s">
        <v>217</v>
      </c>
      <c r="B11" s="29" t="s">
        <v>88</v>
      </c>
      <c r="C11" s="35" t="n">
        <v>2</v>
      </c>
      <c r="D11" s="36" t="n">
        <f aca="false">C11*Control!$H$16</f>
        <v>2</v>
      </c>
      <c r="E11" s="37"/>
    </row>
    <row r="12" customFormat="false" ht="15" hidden="false" customHeight="false" outlineLevel="0" collapsed="false">
      <c r="A12" s="18" t="s">
        <v>218</v>
      </c>
      <c r="B12" s="29" t="s">
        <v>141</v>
      </c>
      <c r="C12" s="49" t="n">
        <v>0.002</v>
      </c>
      <c r="D12" s="50" t="n">
        <f aca="false">C12*Control!$H$16</f>
        <v>0.002</v>
      </c>
      <c r="E12" s="37"/>
    </row>
    <row r="13" customFormat="false" ht="15" hidden="false" customHeight="false" outlineLevel="0" collapsed="false">
      <c r="A13" s="18" t="s">
        <v>219</v>
      </c>
      <c r="B13" s="29" t="s">
        <v>88</v>
      </c>
      <c r="C13" s="35" t="n">
        <v>1</v>
      </c>
      <c r="D13" s="36" t="n">
        <f aca="false">C13*Control!$H$16</f>
        <v>1</v>
      </c>
      <c r="E13" s="37" t="s">
        <v>220</v>
      </c>
    </row>
    <row r="15" customFormat="false" ht="15" hidden="false" customHeight="false" outlineLevel="0" collapsed="false">
      <c r="A15" s="8" t="s">
        <v>99</v>
      </c>
    </row>
    <row r="16" customFormat="false" ht="30" hidden="false" customHeight="true" outlineLevel="0" collapsed="false">
      <c r="A16" s="9" t="s">
        <v>100</v>
      </c>
      <c r="B16" s="9" t="s">
        <v>101</v>
      </c>
      <c r="C16" s="9" t="s">
        <v>102</v>
      </c>
      <c r="D16" s="9" t="s">
        <v>103</v>
      </c>
      <c r="E16" s="9" t="s">
        <v>104</v>
      </c>
      <c r="F16" s="9" t="s">
        <v>105</v>
      </c>
      <c r="G16" s="9" t="s">
        <v>74</v>
      </c>
      <c r="H16" s="9" t="s">
        <v>53</v>
      </c>
      <c r="I16" s="9" t="s">
        <v>106</v>
      </c>
    </row>
    <row r="17" customFormat="false" ht="27.75" hidden="false" customHeight="true" outlineLevel="0" collapsed="false">
      <c r="A17" s="18" t="s">
        <v>221</v>
      </c>
      <c r="B17" s="51" t="n">
        <f aca="false">IFERROR($D$9/$D$7,0)</f>
        <v>0.00952380952380953</v>
      </c>
      <c r="C17" s="49" t="n">
        <v>0.005</v>
      </c>
      <c r="D17" s="49" t="n">
        <v>0.03</v>
      </c>
      <c r="E17" s="42" t="s">
        <v>111</v>
      </c>
      <c r="F17" s="43" t="n">
        <f aca="false">IF(C17=D17,IF(B17&gt;=C17,100,0),MAX(0,MIN(100,(B17-D17)/(C17-D17)*100)))</f>
        <v>81.9047619047619</v>
      </c>
      <c r="G17" s="29" t="str">
        <f aca="false">IF(F17&gt;=Control!$B$19,"GREEN",IF(F17&gt;=Control!$B$20,"AMBER","RED"))</f>
        <v>GREEN</v>
      </c>
      <c r="H17" s="19" t="n">
        <v>3</v>
      </c>
      <c r="I17" s="13" t="s">
        <v>222</v>
      </c>
    </row>
    <row r="18" customFormat="false" ht="27.75" hidden="false" customHeight="true" outlineLevel="0" collapsed="false">
      <c r="A18" s="18" t="s">
        <v>223</v>
      </c>
      <c r="B18" s="44" t="n">
        <f aca="false">IFERROR($D$10/$D$8,0)</f>
        <v>1</v>
      </c>
      <c r="C18" s="38" t="n">
        <v>0.5</v>
      </c>
      <c r="D18" s="38" t="n">
        <v>4</v>
      </c>
      <c r="E18" s="42" t="s">
        <v>111</v>
      </c>
      <c r="F18" s="43" t="n">
        <f aca="false">IF(C18=D18,IF(B18&gt;=C18,100,0),MAX(0,MIN(100,(B18-D18)/(C18-D18)*100)))</f>
        <v>85.7142857142857</v>
      </c>
      <c r="G18" s="29" t="str">
        <f aca="false">IF(F18&gt;=Control!$B$19,"GREEN",IF(F18&gt;=Control!$B$20,"AMBER","RED"))</f>
        <v>GREEN</v>
      </c>
      <c r="H18" s="19" t="n">
        <v>1</v>
      </c>
      <c r="I18" s="13" t="s">
        <v>224</v>
      </c>
    </row>
    <row r="19" customFormat="false" ht="27.75" hidden="false" customHeight="true" outlineLevel="0" collapsed="false">
      <c r="A19" s="18" t="s">
        <v>225</v>
      </c>
      <c r="B19" s="45" t="n">
        <f aca="false">IFERROR($D$11,0)</f>
        <v>2</v>
      </c>
      <c r="C19" s="35" t="n">
        <v>0</v>
      </c>
      <c r="D19" s="35" t="n">
        <v>6</v>
      </c>
      <c r="E19" s="42" t="s">
        <v>111</v>
      </c>
      <c r="F19" s="43" t="n">
        <f aca="false">IF(C19=D19,IF(B19&gt;=C19,100,0),MAX(0,MIN(100,(B19-D19)/(C19-D19)*100)))</f>
        <v>66.6666666666667</v>
      </c>
      <c r="G19" s="29" t="str">
        <f aca="false">IF(F19&gt;=Control!$B$19,"GREEN",IF(F19&gt;=Control!$B$20,"AMBER","RED"))</f>
        <v>AMBER</v>
      </c>
      <c r="H19" s="19" t="n">
        <v>2</v>
      </c>
      <c r="I19" s="13" t="s">
        <v>226</v>
      </c>
    </row>
    <row r="20" customFormat="false" ht="27.75" hidden="false" customHeight="true" outlineLevel="0" collapsed="false">
      <c r="A20" s="18" t="s">
        <v>227</v>
      </c>
      <c r="B20" s="51" t="n">
        <f aca="false">IFERROR($D$12,0)</f>
        <v>0.002</v>
      </c>
      <c r="C20" s="49" t="n">
        <v>0.001</v>
      </c>
      <c r="D20" s="49" t="n">
        <v>0.01</v>
      </c>
      <c r="E20" s="42" t="s">
        <v>111</v>
      </c>
      <c r="F20" s="43" t="n">
        <f aca="false">IF(C20=D20,IF(B20&gt;=C20,100,0),MAX(0,MIN(100,(B20-D20)/(C20-D20)*100)))</f>
        <v>88.8888888888889</v>
      </c>
      <c r="G20" s="29" t="str">
        <f aca="false">IF(F20&gt;=Control!$B$19,"GREEN",IF(F20&gt;=Control!$B$20,"AMBER","RED"))</f>
        <v>GREEN</v>
      </c>
      <c r="H20" s="19" t="n">
        <v>2</v>
      </c>
      <c r="I20" s="13" t="s">
        <v>228</v>
      </c>
    </row>
    <row r="21" customFormat="false" ht="27.75" hidden="false" customHeight="true" outlineLevel="0" collapsed="false">
      <c r="A21" s="18" t="s">
        <v>229</v>
      </c>
      <c r="B21" s="45" t="n">
        <f aca="false">IFERROR($D$13,0)</f>
        <v>1</v>
      </c>
      <c r="C21" s="35" t="n">
        <v>0</v>
      </c>
      <c r="D21" s="35" t="n">
        <v>3</v>
      </c>
      <c r="E21" s="42" t="s">
        <v>111</v>
      </c>
      <c r="F21" s="43" t="n">
        <f aca="false">IF(C21=D21,IF(B21&gt;=C21,100,0),MAX(0,MIN(100,(B21-D21)/(C21-D21)*100)))</f>
        <v>66.6666666666667</v>
      </c>
      <c r="G21" s="29" t="str">
        <f aca="false">IF(F21&gt;=Control!$B$19,"GREEN",IF(F21&gt;=Control!$B$20,"AMBER","RED"))</f>
        <v>AMBER</v>
      </c>
      <c r="H21" s="19" t="n">
        <v>2</v>
      </c>
      <c r="I21" s="13" t="s">
        <v>230</v>
      </c>
    </row>
    <row r="23" customFormat="false" ht="15" hidden="false" customHeight="false" outlineLevel="0" collapsed="false">
      <c r="A23" s="23" t="s">
        <v>116</v>
      </c>
      <c r="B23" s="46" t="n">
        <f aca="false">SUMPRODUCT($F$17:$F$21,$H$17:$H$21)/SUM($H$17:$H$21)</f>
        <v>77.5873015873016</v>
      </c>
    </row>
    <row r="24" customFormat="false" ht="15" hidden="false" customHeight="false" outlineLevel="0" collapsed="false">
      <c r="A24" s="23" t="s">
        <v>117</v>
      </c>
      <c r="B24" s="25" t="str">
        <f aca="false">IF(B23&gt;=Control!$B$19,"GREEN",IF(B23&gt;=Control!$B$20,"AMBER","RED"))</f>
        <v>GREEN</v>
      </c>
    </row>
    <row r="25" customFormat="false" ht="15" hidden="false" customHeight="false" outlineLevel="0" collapsed="false">
      <c r="A25" s="23" t="s">
        <v>118</v>
      </c>
      <c r="B25" s="6" t="str">
        <f aca="false">INDEX($A$17:$A$21,MATCH(MIN($F$17:$F$21),$F$17:$F$21,0))</f>
        <v>Overrides without prior approval</v>
      </c>
    </row>
    <row r="26" customFormat="false" ht="31.5" hidden="false" customHeight="true" outlineLevel="0" collapsed="false">
      <c r="A26" s="47" t="s">
        <v>119</v>
      </c>
      <c r="B26" s="22" t="str">
        <f aca="false">IF(MIN($F$17:$F$21)&gt;=Control!$B$19,"Sector healthy. Keep the quarterly review and watch: "&amp;B25,INDEX($I$17:$I$21,MATCH(MIN($F$17:$F$21),$F$17:$F$21,0)))</f>
        <v>Block post-run approvals: no override without sign-off before the run.</v>
      </c>
      <c r="C26" s="22"/>
      <c r="D26" s="22"/>
      <c r="E26" s="22"/>
      <c r="F26" s="22"/>
      <c r="G26" s="22"/>
      <c r="H26" s="22"/>
      <c r="I26" s="22"/>
    </row>
  </sheetData>
  <mergeCells count="2">
    <mergeCell ref="A2:I2"/>
    <mergeCell ref="B26:I26"/>
  </mergeCells>
  <conditionalFormatting sqref="G17:G21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4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231</v>
      </c>
    </row>
    <row r="2" customFormat="false" ht="30" hidden="false" customHeight="true" outlineLevel="0" collapsed="false">
      <c r="A2" s="33" t="s">
        <v>232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233</v>
      </c>
      <c r="B7" s="29" t="s">
        <v>234</v>
      </c>
      <c r="C7" s="35" t="n">
        <v>12000</v>
      </c>
      <c r="D7" s="36" t="n">
        <f aca="false">C7*Control!$B$16</f>
        <v>12000</v>
      </c>
      <c r="E7" s="37" t="s">
        <v>235</v>
      </c>
    </row>
    <row r="8" customFormat="false" ht="15" hidden="false" customHeight="false" outlineLevel="0" collapsed="false">
      <c r="A8" s="18" t="s">
        <v>236</v>
      </c>
      <c r="B8" s="29" t="s">
        <v>234</v>
      </c>
      <c r="C8" s="35" t="n">
        <v>12000</v>
      </c>
      <c r="D8" s="36" t="n">
        <f aca="false">C8</f>
        <v>12000</v>
      </c>
      <c r="E8" s="37"/>
    </row>
    <row r="9" customFormat="false" ht="15" hidden="false" customHeight="false" outlineLevel="0" collapsed="false">
      <c r="A9" s="18" t="s">
        <v>237</v>
      </c>
      <c r="B9" s="29" t="s">
        <v>234</v>
      </c>
      <c r="C9" s="35" t="n">
        <v>6400</v>
      </c>
      <c r="D9" s="36" t="n">
        <f aca="false">C9*Control!$C$16</f>
        <v>6400</v>
      </c>
      <c r="E9" s="37"/>
    </row>
    <row r="10" customFormat="false" ht="15" hidden="false" customHeight="false" outlineLevel="0" collapsed="false">
      <c r="A10" s="18" t="s">
        <v>238</v>
      </c>
      <c r="B10" s="29" t="s">
        <v>234</v>
      </c>
      <c r="C10" s="35" t="n">
        <v>3800</v>
      </c>
      <c r="D10" s="36" t="n">
        <f aca="false">C10</f>
        <v>3800</v>
      </c>
      <c r="E10" s="37"/>
    </row>
    <row r="11" customFormat="false" ht="15" hidden="false" customHeight="false" outlineLevel="0" collapsed="false">
      <c r="A11" s="18" t="s">
        <v>239</v>
      </c>
      <c r="B11" s="29" t="s">
        <v>234</v>
      </c>
      <c r="C11" s="35" t="n">
        <v>4800</v>
      </c>
      <c r="D11" s="36" t="n">
        <f aca="false">C11</f>
        <v>4800</v>
      </c>
      <c r="E11" s="37"/>
    </row>
    <row r="12" customFormat="false" ht="15" hidden="false" customHeight="false" outlineLevel="0" collapsed="false">
      <c r="A12" s="18" t="s">
        <v>240</v>
      </c>
      <c r="B12" s="29" t="s">
        <v>234</v>
      </c>
      <c r="C12" s="35" t="n">
        <v>2640</v>
      </c>
      <c r="D12" s="36" t="n">
        <f aca="false">C12</f>
        <v>2640</v>
      </c>
      <c r="E12" s="37"/>
    </row>
    <row r="13" customFormat="false" ht="15" hidden="false" customHeight="false" outlineLevel="0" collapsed="false">
      <c r="A13" s="18" t="s">
        <v>241</v>
      </c>
      <c r="B13" s="29" t="s">
        <v>98</v>
      </c>
      <c r="C13" s="38" t="n">
        <v>52</v>
      </c>
      <c r="D13" s="39" t="n">
        <f aca="false">C13+Control!$E$16</f>
        <v>52</v>
      </c>
      <c r="E13" s="37"/>
    </row>
    <row r="15" customFormat="false" ht="15" hidden="false" customHeight="false" outlineLevel="0" collapsed="false">
      <c r="A15" s="8" t="s">
        <v>99</v>
      </c>
    </row>
    <row r="16" customFormat="false" ht="30" hidden="false" customHeight="true" outlineLevel="0" collapsed="false">
      <c r="A16" s="9" t="s">
        <v>100</v>
      </c>
      <c r="B16" s="9" t="s">
        <v>101</v>
      </c>
      <c r="C16" s="9" t="s">
        <v>102</v>
      </c>
      <c r="D16" s="9" t="s">
        <v>103</v>
      </c>
      <c r="E16" s="9" t="s">
        <v>104</v>
      </c>
      <c r="F16" s="9" t="s">
        <v>105</v>
      </c>
      <c r="G16" s="9" t="s">
        <v>74</v>
      </c>
      <c r="H16" s="9" t="s">
        <v>53</v>
      </c>
      <c r="I16" s="9" t="s">
        <v>106</v>
      </c>
    </row>
    <row r="17" customFormat="false" ht="27.75" hidden="false" customHeight="true" outlineLevel="0" collapsed="false">
      <c r="A17" s="18" t="s">
        <v>242</v>
      </c>
      <c r="B17" s="40" t="n">
        <f aca="false">IFERROR(($D$7-$D$9-$D$10)/$D$7,0)</f>
        <v>0.15</v>
      </c>
      <c r="C17" s="41" t="n">
        <v>0.15</v>
      </c>
      <c r="D17" s="41" t="n">
        <v>0.03</v>
      </c>
      <c r="E17" s="42" t="s">
        <v>108</v>
      </c>
      <c r="F17" s="43" t="n">
        <f aca="false">IF(C17=D17,IF(B17&gt;=C17,100,0),MAX(0,MIN(100,(B17-D17)/(C17-D17)*100)))</f>
        <v>100</v>
      </c>
      <c r="G17" s="29" t="str">
        <f aca="false">IF(F17&gt;=Control!$B$19,"GREEN",IF(F17&gt;=Control!$B$20,"AMBER","RED"))</f>
        <v>GREEN</v>
      </c>
      <c r="H17" s="19" t="n">
        <v>3</v>
      </c>
      <c r="I17" s="13" t="s">
        <v>243</v>
      </c>
    </row>
    <row r="18" customFormat="false" ht="27.75" hidden="false" customHeight="true" outlineLevel="0" collapsed="false">
      <c r="A18" s="18" t="s">
        <v>244</v>
      </c>
      <c r="B18" s="44" t="n">
        <f aca="false">IFERROR($D$11/(($D$9+$D$10)/12),0)</f>
        <v>5.64705882352941</v>
      </c>
      <c r="C18" s="38" t="n">
        <v>6</v>
      </c>
      <c r="D18" s="38" t="n">
        <v>2</v>
      </c>
      <c r="E18" s="42" t="s">
        <v>108</v>
      </c>
      <c r="F18" s="43" t="n">
        <f aca="false">IF(C18=D18,IF(B18&gt;=C18,100,0),MAX(0,MIN(100,(B18-D18)/(C18-D18)*100)))</f>
        <v>91.1764705882353</v>
      </c>
      <c r="G18" s="29" t="str">
        <f aca="false">IF(F18&gt;=Control!$B$19,"GREEN",IF(F18&gt;=Control!$B$20,"AMBER","RED"))</f>
        <v>GREEN</v>
      </c>
      <c r="H18" s="19" t="n">
        <v>3</v>
      </c>
      <c r="I18" s="13" t="s">
        <v>245</v>
      </c>
    </row>
    <row r="19" customFormat="false" ht="27.75" hidden="false" customHeight="true" outlineLevel="0" collapsed="false">
      <c r="A19" s="18" t="s">
        <v>246</v>
      </c>
      <c r="B19" s="40" t="n">
        <f aca="false">IFERROR($D$12/$D$7,0)</f>
        <v>0.22</v>
      </c>
      <c r="C19" s="41" t="n">
        <v>0.2</v>
      </c>
      <c r="D19" s="41" t="n">
        <v>0.4</v>
      </c>
      <c r="E19" s="42" t="s">
        <v>111</v>
      </c>
      <c r="F19" s="43" t="n">
        <f aca="false">IF(C19=D19,IF(B19&gt;=C19,100,0),MAX(0,MIN(100,(B19-D19)/(C19-D19)*100)))</f>
        <v>90</v>
      </c>
      <c r="G19" s="29" t="str">
        <f aca="false">IF(F19&gt;=Control!$B$19,"GREEN",IF(F19&gt;=Control!$B$20,"AMBER","RED"))</f>
        <v>GREEN</v>
      </c>
      <c r="H19" s="19" t="n">
        <v>2</v>
      </c>
      <c r="I19" s="13" t="s">
        <v>247</v>
      </c>
    </row>
    <row r="20" customFormat="false" ht="27.75" hidden="false" customHeight="true" outlineLevel="0" collapsed="false">
      <c r="A20" s="18" t="s">
        <v>241</v>
      </c>
      <c r="B20" s="44" t="n">
        <f aca="false">IFERROR($D$13,0)</f>
        <v>52</v>
      </c>
      <c r="C20" s="38" t="n">
        <v>45</v>
      </c>
      <c r="D20" s="38" t="n">
        <v>75</v>
      </c>
      <c r="E20" s="42" t="s">
        <v>111</v>
      </c>
      <c r="F20" s="43" t="n">
        <f aca="false">IF(C20=D20,IF(B20&gt;=C20,100,0),MAX(0,MIN(100,(B20-D20)/(C20-D20)*100)))</f>
        <v>76.6666666666667</v>
      </c>
      <c r="G20" s="29" t="str">
        <f aca="false">IF(F20&gt;=Control!$B$19,"GREEN",IF(F20&gt;=Control!$B$20,"AMBER","RED"))</f>
        <v>GREEN</v>
      </c>
      <c r="H20" s="19" t="n">
        <v>1</v>
      </c>
      <c r="I20" s="13" t="s">
        <v>248</v>
      </c>
    </row>
    <row r="21" customFormat="false" ht="27.75" hidden="false" customHeight="true" outlineLevel="0" collapsed="false">
      <c r="A21" s="18" t="s">
        <v>249</v>
      </c>
      <c r="B21" s="40" t="n">
        <f aca="false">IFERROR(1-ABS($D$7-$D$8)/$D$8,0)</f>
        <v>1</v>
      </c>
      <c r="C21" s="41" t="n">
        <v>0.97</v>
      </c>
      <c r="D21" s="41" t="n">
        <v>0.85</v>
      </c>
      <c r="E21" s="42" t="s">
        <v>108</v>
      </c>
      <c r="F21" s="43" t="n">
        <f aca="false">IF(C21=D21,IF(B21&gt;=C21,100,0),MAX(0,MIN(100,(B21-D21)/(C21-D21)*100)))</f>
        <v>100</v>
      </c>
      <c r="G21" s="29" t="str">
        <f aca="false">IF(F21&gt;=Control!$B$19,"GREEN",IF(F21&gt;=Control!$B$20,"AMBER","RED"))</f>
        <v>GREEN</v>
      </c>
      <c r="H21" s="19" t="n">
        <v>1</v>
      </c>
      <c r="I21" s="13" t="s">
        <v>250</v>
      </c>
    </row>
    <row r="23" customFormat="false" ht="15" hidden="false" customHeight="false" outlineLevel="0" collapsed="false">
      <c r="A23" s="23" t="s">
        <v>116</v>
      </c>
      <c r="B23" s="46" t="n">
        <f aca="false">SUMPRODUCT($F$17:$F$21,$H$17:$H$21)/SUM($H$17:$H$21)</f>
        <v>93.0196078431373</v>
      </c>
    </row>
    <row r="24" customFormat="false" ht="15" hidden="false" customHeight="false" outlineLevel="0" collapsed="false">
      <c r="A24" s="23" t="s">
        <v>117</v>
      </c>
      <c r="B24" s="25" t="str">
        <f aca="false">IF(B23&gt;=Control!$B$19,"GREEN",IF(B23&gt;=Control!$B$20,"AMBER","RED"))</f>
        <v>GREEN</v>
      </c>
    </row>
    <row r="25" customFormat="false" ht="15" hidden="false" customHeight="false" outlineLevel="0" collapsed="false">
      <c r="A25" s="23" t="s">
        <v>118</v>
      </c>
      <c r="B25" s="6" t="str">
        <f aca="false">INDEX($A$17:$A$21,MATCH(MIN($F$17:$F$21),$F$17:$F$21,0))</f>
        <v>Days sales outstanding</v>
      </c>
    </row>
    <row r="26" customFormat="false" ht="31.5" hidden="false" customHeight="true" outlineLevel="0" collapsed="false">
      <c r="A26" s="47" t="s">
        <v>119</v>
      </c>
      <c r="B26" s="22" t="str">
        <f aca="false">IF(MIN($F$17:$F$21)&gt;=Control!$B$19,"Sector healthy. Keep the quarterly review and watch: "&amp;B25,INDEX($I$17:$I$21,MATCH(MIN($F$17:$F$21),$F$17:$F$21,0)))</f>
        <v>Sector healthy. Keep the quarterly review and watch: Days sales outstanding</v>
      </c>
      <c r="C26" s="22"/>
      <c r="D26" s="22"/>
      <c r="E26" s="22"/>
      <c r="F26" s="22"/>
      <c r="G26" s="22"/>
      <c r="H26" s="22"/>
      <c r="I26" s="22"/>
    </row>
  </sheetData>
  <mergeCells count="2">
    <mergeCell ref="A2:I2"/>
    <mergeCell ref="B26:I26"/>
  </mergeCells>
  <conditionalFormatting sqref="G17:G21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4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251</v>
      </c>
    </row>
    <row r="2" customFormat="false" ht="30" hidden="false" customHeight="true" outlineLevel="0" collapsed="false">
      <c r="A2" s="33" t="s">
        <v>252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253</v>
      </c>
      <c r="B7" s="29" t="s">
        <v>88</v>
      </c>
      <c r="C7" s="35" t="n">
        <v>40</v>
      </c>
      <c r="D7" s="36" t="n">
        <f aca="false">C7</f>
        <v>40</v>
      </c>
      <c r="E7" s="37"/>
    </row>
    <row r="8" customFormat="false" ht="15" hidden="false" customHeight="false" outlineLevel="0" collapsed="false">
      <c r="A8" s="18" t="s">
        <v>254</v>
      </c>
      <c r="B8" s="29" t="s">
        <v>88</v>
      </c>
      <c r="C8" s="35" t="n">
        <v>36</v>
      </c>
      <c r="D8" s="36" t="n">
        <f aca="false">C8</f>
        <v>36</v>
      </c>
      <c r="E8" s="37"/>
    </row>
    <row r="9" customFormat="false" ht="15" hidden="false" customHeight="false" outlineLevel="0" collapsed="false">
      <c r="A9" s="18" t="s">
        <v>255</v>
      </c>
      <c r="B9" s="29" t="s">
        <v>88</v>
      </c>
      <c r="C9" s="35" t="n">
        <v>28</v>
      </c>
      <c r="D9" s="36" t="n">
        <f aca="false">C9</f>
        <v>28</v>
      </c>
      <c r="E9" s="37"/>
    </row>
    <row r="10" customFormat="false" ht="15" hidden="false" customHeight="false" outlineLevel="0" collapsed="false">
      <c r="A10" s="18" t="s">
        <v>256</v>
      </c>
      <c r="B10" s="29" t="s">
        <v>88</v>
      </c>
      <c r="C10" s="35" t="n">
        <v>6</v>
      </c>
      <c r="D10" s="36" t="n">
        <f aca="false">C10*Control!$G$16</f>
        <v>6</v>
      </c>
      <c r="E10" s="37"/>
    </row>
    <row r="11" customFormat="false" ht="15" hidden="false" customHeight="false" outlineLevel="0" collapsed="false">
      <c r="A11" s="18" t="s">
        <v>257</v>
      </c>
      <c r="B11" s="29" t="s">
        <v>88</v>
      </c>
      <c r="C11" s="35" t="n">
        <v>3</v>
      </c>
      <c r="D11" s="36" t="n">
        <f aca="false">C11*Control!$G$16</f>
        <v>3</v>
      </c>
      <c r="E11" s="37"/>
    </row>
    <row r="12" customFormat="false" ht="15" hidden="false" customHeight="false" outlineLevel="0" collapsed="false">
      <c r="A12" s="18" t="s">
        <v>258</v>
      </c>
      <c r="B12" s="29" t="s">
        <v>88</v>
      </c>
      <c r="C12" s="35" t="n">
        <v>1</v>
      </c>
      <c r="D12" s="36" t="n">
        <f aca="false">C12*Control!$G$16</f>
        <v>1</v>
      </c>
      <c r="E12" s="37"/>
    </row>
    <row r="13" customFormat="false" ht="15" hidden="false" customHeight="false" outlineLevel="0" collapsed="false">
      <c r="A13" s="18" t="s">
        <v>259</v>
      </c>
      <c r="B13" s="29" t="s">
        <v>260</v>
      </c>
      <c r="C13" s="35" t="n">
        <v>3</v>
      </c>
      <c r="D13" s="36" t="n">
        <f aca="false">C13</f>
        <v>3</v>
      </c>
      <c r="E13" s="37" t="s">
        <v>261</v>
      </c>
    </row>
    <row r="15" customFormat="false" ht="15" hidden="false" customHeight="false" outlineLevel="0" collapsed="false">
      <c r="A15" s="8" t="s">
        <v>99</v>
      </c>
    </row>
    <row r="16" customFormat="false" ht="30" hidden="false" customHeight="true" outlineLevel="0" collapsed="false">
      <c r="A16" s="9" t="s">
        <v>100</v>
      </c>
      <c r="B16" s="9" t="s">
        <v>101</v>
      </c>
      <c r="C16" s="9" t="s">
        <v>102</v>
      </c>
      <c r="D16" s="9" t="s">
        <v>103</v>
      </c>
      <c r="E16" s="9" t="s">
        <v>104</v>
      </c>
      <c r="F16" s="9" t="s">
        <v>105</v>
      </c>
      <c r="G16" s="9" t="s">
        <v>74</v>
      </c>
      <c r="H16" s="9" t="s">
        <v>53</v>
      </c>
      <c r="I16" s="9" t="s">
        <v>106</v>
      </c>
    </row>
    <row r="17" customFormat="false" ht="27.75" hidden="false" customHeight="true" outlineLevel="0" collapsed="false">
      <c r="A17" s="18" t="s">
        <v>262</v>
      </c>
      <c r="B17" s="40" t="n">
        <f aca="false">IFERROR($D$8/$D$7,0)</f>
        <v>0.9</v>
      </c>
      <c r="C17" s="41" t="n">
        <v>0.95</v>
      </c>
      <c r="D17" s="41" t="n">
        <v>0.75</v>
      </c>
      <c r="E17" s="42" t="s">
        <v>108</v>
      </c>
      <c r="F17" s="43" t="n">
        <f aca="false">IF(C17=D17,IF(B17&gt;=C17,100,0),MAX(0,MIN(100,(B17-D17)/(C17-D17)*100)))</f>
        <v>75</v>
      </c>
      <c r="G17" s="29" t="str">
        <f aca="false">IF(F17&gt;=Control!$B$19,"GREEN",IF(F17&gt;=Control!$B$20,"AMBER","RED"))</f>
        <v>GREEN</v>
      </c>
      <c r="H17" s="19" t="n">
        <v>2</v>
      </c>
      <c r="I17" s="13" t="s">
        <v>263</v>
      </c>
    </row>
    <row r="18" customFormat="false" ht="27.75" hidden="false" customHeight="true" outlineLevel="0" collapsed="false">
      <c r="A18" s="18" t="s">
        <v>264</v>
      </c>
      <c r="B18" s="40" t="n">
        <f aca="false">IFERROR(MIN(1,$D$10/$D$9),0)</f>
        <v>0.214285714285714</v>
      </c>
      <c r="C18" s="41" t="n">
        <v>0.1</v>
      </c>
      <c r="D18" s="41" t="n">
        <v>0.4</v>
      </c>
      <c r="E18" s="42" t="s">
        <v>111</v>
      </c>
      <c r="F18" s="43" t="n">
        <f aca="false">IF(C18=D18,IF(B18&gt;=C18,100,0),MAX(0,MIN(100,(B18-D18)/(C18-D18)*100)))</f>
        <v>61.9047619047619</v>
      </c>
      <c r="G18" s="29" t="str">
        <f aca="false">IF(F18&gt;=Control!$B$19,"GREEN",IF(F18&gt;=Control!$B$20,"AMBER","RED"))</f>
        <v>AMBER</v>
      </c>
      <c r="H18" s="19" t="n">
        <v>3</v>
      </c>
      <c r="I18" s="13" t="s">
        <v>265</v>
      </c>
    </row>
    <row r="19" customFormat="false" ht="27.75" hidden="false" customHeight="true" outlineLevel="0" collapsed="false">
      <c r="A19" s="18" t="s">
        <v>266</v>
      </c>
      <c r="B19" s="40" t="n">
        <f aca="false">IFERROR(MIN(1,$D$11/$D$9),0)</f>
        <v>0.107142857142857</v>
      </c>
      <c r="C19" s="41" t="n">
        <v>0.05</v>
      </c>
      <c r="D19" s="41" t="n">
        <v>0.25</v>
      </c>
      <c r="E19" s="42" t="s">
        <v>111</v>
      </c>
      <c r="F19" s="43" t="n">
        <f aca="false">IF(C19=D19,IF(B19&gt;=C19,100,0),MAX(0,MIN(100,(B19-D19)/(C19-D19)*100)))</f>
        <v>71.4285714285714</v>
      </c>
      <c r="G19" s="29" t="str">
        <f aca="false">IF(F19&gt;=Control!$B$19,"GREEN",IF(F19&gt;=Control!$B$20,"AMBER","RED"))</f>
        <v>GREEN</v>
      </c>
      <c r="H19" s="19" t="n">
        <v>2</v>
      </c>
      <c r="I19" s="13" t="s">
        <v>267</v>
      </c>
    </row>
    <row r="20" customFormat="false" ht="27.75" hidden="false" customHeight="true" outlineLevel="0" collapsed="false">
      <c r="A20" s="18" t="s">
        <v>268</v>
      </c>
      <c r="B20" s="45" t="n">
        <f aca="false">IFERROR($D$12,0)</f>
        <v>1</v>
      </c>
      <c r="C20" s="35" t="n">
        <v>0</v>
      </c>
      <c r="D20" s="35" t="n">
        <v>4</v>
      </c>
      <c r="E20" s="42" t="s">
        <v>111</v>
      </c>
      <c r="F20" s="43" t="n">
        <f aca="false">IF(C20=D20,IF(B20&gt;=C20,100,0),MAX(0,MIN(100,(B20-D20)/(C20-D20)*100)))</f>
        <v>75</v>
      </c>
      <c r="G20" s="29" t="str">
        <f aca="false">IF(F20&gt;=Control!$B$19,"GREEN",IF(F20&gt;=Control!$B$20,"AMBER","RED"))</f>
        <v>GREEN</v>
      </c>
      <c r="H20" s="19" t="n">
        <v>2</v>
      </c>
      <c r="I20" s="13" t="s">
        <v>269</v>
      </c>
    </row>
    <row r="21" customFormat="false" ht="27.75" hidden="false" customHeight="true" outlineLevel="0" collapsed="false">
      <c r="A21" s="18" t="s">
        <v>270</v>
      </c>
      <c r="B21" s="45" t="n">
        <f aca="false">IFERROR($D$13,0)</f>
        <v>3</v>
      </c>
      <c r="C21" s="35" t="n">
        <v>5</v>
      </c>
      <c r="D21" s="35" t="n">
        <v>9</v>
      </c>
      <c r="E21" s="42" t="s">
        <v>111</v>
      </c>
      <c r="F21" s="43" t="n">
        <f aca="false">IF(C21=D21,IF(B21&gt;=C21,100,0),MAX(0,MIN(100,(B21-D21)/(C21-D21)*100)))</f>
        <v>100</v>
      </c>
      <c r="G21" s="29" t="str">
        <f aca="false">IF(F21&gt;=Control!$B$19,"GREEN",IF(F21&gt;=Control!$B$20,"AMBER","RED"))</f>
        <v>GREEN</v>
      </c>
      <c r="H21" s="19" t="n">
        <v>1</v>
      </c>
      <c r="I21" s="13" t="s">
        <v>271</v>
      </c>
    </row>
    <row r="23" customFormat="false" ht="15" hidden="false" customHeight="false" outlineLevel="0" collapsed="false">
      <c r="A23" s="23" t="s">
        <v>116</v>
      </c>
      <c r="B23" s="46" t="n">
        <f aca="false">SUMPRODUCT($F$17:$F$21,$H$17:$H$21)/SUM($H$17:$H$21)</f>
        <v>72.8571428571429</v>
      </c>
    </row>
    <row r="24" customFormat="false" ht="15" hidden="false" customHeight="false" outlineLevel="0" collapsed="false">
      <c r="A24" s="23" t="s">
        <v>117</v>
      </c>
      <c r="B24" s="25" t="str">
        <f aca="false">IF(B23&gt;=Control!$B$19,"GREEN",IF(B23&gt;=Control!$B$20,"AMBER","RED"))</f>
        <v>GREEN</v>
      </c>
    </row>
    <row r="25" customFormat="false" ht="15" hidden="false" customHeight="false" outlineLevel="0" collapsed="false">
      <c r="A25" s="23" t="s">
        <v>118</v>
      </c>
      <c r="B25" s="6" t="str">
        <f aca="false">INDEX($A$17:$A$21,MATCH(MIN($F$17:$F$21),$F$17:$F$21,0))</f>
        <v>Overdue share of open findings</v>
      </c>
    </row>
    <row r="26" customFormat="false" ht="31.5" hidden="false" customHeight="true" outlineLevel="0" collapsed="false">
      <c r="A26" s="47" t="s">
        <v>119</v>
      </c>
      <c r="B26" s="22" t="str">
        <f aca="false">IF(MIN($F$17:$F$21)&gt;=Control!$B$19,"Sector healthy. Keep the quarterly review and watch: "&amp;B25,INDEX($I$17:$I$21,MATCH(MIN($F$17:$F$21),$F$17:$F$21,0)))</f>
        <v>Escalate every overdue finding to the Audit &amp; Risk committee with the owner present.</v>
      </c>
      <c r="C26" s="22"/>
      <c r="D26" s="22"/>
      <c r="E26" s="22"/>
      <c r="F26" s="22"/>
      <c r="G26" s="22"/>
      <c r="H26" s="22"/>
      <c r="I26" s="22"/>
    </row>
  </sheetData>
  <mergeCells count="2">
    <mergeCell ref="A2:I2"/>
    <mergeCell ref="B26:I26"/>
  </mergeCells>
  <conditionalFormatting sqref="G17:G21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4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272</v>
      </c>
    </row>
    <row r="2" customFormat="false" ht="30" hidden="false" customHeight="true" outlineLevel="0" collapsed="false">
      <c r="A2" s="33" t="s">
        <v>273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274</v>
      </c>
      <c r="B7" s="29" t="s">
        <v>234</v>
      </c>
      <c r="C7" s="35" t="n">
        <v>12000</v>
      </c>
      <c r="D7" s="36" t="n">
        <f aca="false">C7*Control!$B$16</f>
        <v>12000</v>
      </c>
      <c r="E7" s="37" t="s">
        <v>235</v>
      </c>
    </row>
    <row r="8" customFormat="false" ht="15" hidden="false" customHeight="false" outlineLevel="0" collapsed="false">
      <c r="A8" s="18" t="s">
        <v>275</v>
      </c>
      <c r="B8" s="29" t="s">
        <v>234</v>
      </c>
      <c r="C8" s="35" t="n">
        <v>9120</v>
      </c>
      <c r="D8" s="36" t="n">
        <f aca="false">C8*Control!$C$16</f>
        <v>9120</v>
      </c>
      <c r="E8" s="37"/>
    </row>
    <row r="9" customFormat="false" ht="15" hidden="false" customHeight="false" outlineLevel="0" collapsed="false">
      <c r="A9" s="18" t="s">
        <v>276</v>
      </c>
      <c r="B9" s="29" t="s">
        <v>234</v>
      </c>
      <c r="C9" s="35" t="n">
        <v>1920</v>
      </c>
      <c r="D9" s="36" t="n">
        <f aca="false">C9</f>
        <v>1920</v>
      </c>
      <c r="E9" s="37"/>
    </row>
    <row r="10" customFormat="false" ht="15" hidden="false" customHeight="false" outlineLevel="0" collapsed="false">
      <c r="A10" s="18" t="s">
        <v>277</v>
      </c>
      <c r="B10" s="29" t="s">
        <v>88</v>
      </c>
      <c r="C10" s="35" t="n">
        <v>150</v>
      </c>
      <c r="D10" s="36" t="n">
        <f aca="false">C10</f>
        <v>150</v>
      </c>
      <c r="E10" s="37"/>
    </row>
    <row r="11" customFormat="false" ht="15" hidden="false" customHeight="false" outlineLevel="0" collapsed="false">
      <c r="A11" s="18" t="s">
        <v>278</v>
      </c>
      <c r="B11" s="29" t="s">
        <v>88</v>
      </c>
      <c r="C11" s="35" t="n">
        <v>6</v>
      </c>
      <c r="D11" s="36" t="n">
        <f aca="false">C11*Control!$J$16</f>
        <v>6</v>
      </c>
      <c r="E11" s="37"/>
    </row>
    <row r="12" customFormat="false" ht="15" hidden="false" customHeight="false" outlineLevel="0" collapsed="false">
      <c r="A12" s="18" t="s">
        <v>279</v>
      </c>
      <c r="B12" s="29" t="s">
        <v>234</v>
      </c>
      <c r="C12" s="35" t="n">
        <v>600</v>
      </c>
      <c r="D12" s="36" t="n">
        <f aca="false">C12*(1+Control!$E$16/30)</f>
        <v>600</v>
      </c>
      <c r="E12" s="37"/>
    </row>
    <row r="13" customFormat="false" ht="15" hidden="false" customHeight="false" outlineLevel="0" collapsed="false">
      <c r="A13" s="18" t="s">
        <v>280</v>
      </c>
      <c r="B13" s="29" t="s">
        <v>88</v>
      </c>
      <c r="C13" s="35" t="n">
        <v>100</v>
      </c>
      <c r="D13" s="36" t="n">
        <f aca="false">C13</f>
        <v>100</v>
      </c>
      <c r="E13" s="37"/>
    </row>
    <row r="14" customFormat="false" ht="15" hidden="false" customHeight="false" outlineLevel="0" collapsed="false">
      <c r="A14" s="18" t="s">
        <v>281</v>
      </c>
      <c r="B14" s="29" t="s">
        <v>88</v>
      </c>
      <c r="C14" s="35" t="n">
        <v>82</v>
      </c>
      <c r="D14" s="36" t="n">
        <f aca="false">C14*Control!$B$16</f>
        <v>82</v>
      </c>
      <c r="E14" s="37"/>
    </row>
    <row r="16" customFormat="false" ht="15" hidden="false" customHeight="false" outlineLevel="0" collapsed="false">
      <c r="A16" s="8" t="s">
        <v>99</v>
      </c>
    </row>
    <row r="17" customFormat="false" ht="30" hidden="false" customHeight="true" outlineLevel="0" collapsed="false">
      <c r="A17" s="9" t="s">
        <v>100</v>
      </c>
      <c r="B17" s="9" t="s">
        <v>101</v>
      </c>
      <c r="C17" s="9" t="s">
        <v>102</v>
      </c>
      <c r="D17" s="9" t="s">
        <v>103</v>
      </c>
      <c r="E17" s="9" t="s">
        <v>104</v>
      </c>
      <c r="F17" s="9" t="s">
        <v>105</v>
      </c>
      <c r="G17" s="9" t="s">
        <v>74</v>
      </c>
      <c r="H17" s="9" t="s">
        <v>53</v>
      </c>
      <c r="I17" s="9" t="s">
        <v>106</v>
      </c>
    </row>
    <row r="18" customFormat="false" ht="27.75" hidden="false" customHeight="true" outlineLevel="0" collapsed="false">
      <c r="A18" s="18" t="s">
        <v>282</v>
      </c>
      <c r="B18" s="40" t="n">
        <f aca="false">IFERROR(($D$7-$D$8)/$D$7,0)</f>
        <v>0.24</v>
      </c>
      <c r="C18" s="41" t="n">
        <v>0.25</v>
      </c>
      <c r="D18" s="41" t="n">
        <v>0.1</v>
      </c>
      <c r="E18" s="42" t="s">
        <v>108</v>
      </c>
      <c r="F18" s="43" t="n">
        <f aca="false">IF(C18=D18,IF(B18&gt;=C18,100,0),MAX(0,MIN(100,(B18-D18)/(C18-D18)*100)))</f>
        <v>93.3333333333333</v>
      </c>
      <c r="G18" s="29" t="str">
        <f aca="false">IF(F18&gt;=Control!$B$19,"GREEN",IF(F18&gt;=Control!$B$20,"AMBER","RED"))</f>
        <v>GREEN</v>
      </c>
      <c r="H18" s="19" t="n">
        <v>3</v>
      </c>
      <c r="I18" s="13" t="s">
        <v>283</v>
      </c>
    </row>
    <row r="19" customFormat="false" ht="27.75" hidden="false" customHeight="true" outlineLevel="0" collapsed="false">
      <c r="A19" s="18" t="s">
        <v>284</v>
      </c>
      <c r="B19" s="40" t="n">
        <f aca="false">IFERROR($D$9/$D$7,0)</f>
        <v>0.16</v>
      </c>
      <c r="C19" s="41" t="n">
        <v>0.15</v>
      </c>
      <c r="D19" s="41" t="n">
        <v>0.3</v>
      </c>
      <c r="E19" s="42" t="s">
        <v>111</v>
      </c>
      <c r="F19" s="43" t="n">
        <f aca="false">IF(C19=D19,IF(B19&gt;=C19,100,0),MAX(0,MIN(100,(B19-D19)/(C19-D19)*100)))</f>
        <v>93.3333333333333</v>
      </c>
      <c r="G19" s="29" t="str">
        <f aca="false">IF(F19&gt;=Control!$B$19,"GREEN",IF(F19&gt;=Control!$B$20,"AMBER","RED"))</f>
        <v>GREEN</v>
      </c>
      <c r="H19" s="19" t="n">
        <v>2</v>
      </c>
      <c r="I19" s="13" t="s">
        <v>285</v>
      </c>
    </row>
    <row r="20" customFormat="false" ht="27.75" hidden="false" customHeight="true" outlineLevel="0" collapsed="false">
      <c r="A20" s="18" t="s">
        <v>286</v>
      </c>
      <c r="B20" s="40" t="n">
        <f aca="false">IFERROR($D$11/$D$10,0)</f>
        <v>0.04</v>
      </c>
      <c r="C20" s="41" t="n">
        <v>0.02</v>
      </c>
      <c r="D20" s="41" t="n">
        <v>0.1</v>
      </c>
      <c r="E20" s="42" t="s">
        <v>111</v>
      </c>
      <c r="F20" s="43" t="n">
        <f aca="false">IF(C20=D20,IF(B20&gt;=C20,100,0),MAX(0,MIN(100,(B20-D20)/(C20-D20)*100)))</f>
        <v>75</v>
      </c>
      <c r="G20" s="29" t="str">
        <f aca="false">IF(F20&gt;=Control!$B$19,"GREEN",IF(F20&gt;=Control!$B$20,"AMBER","RED"))</f>
        <v>GREEN</v>
      </c>
      <c r="H20" s="19" t="n">
        <v>2</v>
      </c>
      <c r="I20" s="13" t="s">
        <v>287</v>
      </c>
    </row>
    <row r="21" customFormat="false" ht="27.75" hidden="false" customHeight="true" outlineLevel="0" collapsed="false">
      <c r="A21" s="18" t="s">
        <v>288</v>
      </c>
      <c r="B21" s="40" t="n">
        <f aca="false">IFERROR($D$12/$D$7,0)</f>
        <v>0.05</v>
      </c>
      <c r="C21" s="41" t="n">
        <v>0.03</v>
      </c>
      <c r="D21" s="41" t="n">
        <v>0.1</v>
      </c>
      <c r="E21" s="42" t="s">
        <v>111</v>
      </c>
      <c r="F21" s="43" t="n">
        <f aca="false">IF(C21=D21,IF(B21&gt;=C21,100,0),MAX(0,MIN(100,(B21-D21)/(C21-D21)*100)))</f>
        <v>71.4285714285714</v>
      </c>
      <c r="G21" s="29" t="str">
        <f aca="false">IF(F21&gt;=Control!$B$19,"GREEN",IF(F21&gt;=Control!$B$20,"AMBER","RED"))</f>
        <v>GREEN</v>
      </c>
      <c r="H21" s="19" t="n">
        <v>2</v>
      </c>
      <c r="I21" s="13" t="s">
        <v>289</v>
      </c>
    </row>
    <row r="22" customFormat="false" ht="27.75" hidden="false" customHeight="true" outlineLevel="0" collapsed="false">
      <c r="A22" s="18" t="s">
        <v>290</v>
      </c>
      <c r="B22" s="40" t="n">
        <f aca="false">IFERROR($D$14/$D$13,0)</f>
        <v>0.82</v>
      </c>
      <c r="C22" s="41" t="n">
        <v>0.9</v>
      </c>
      <c r="D22" s="41" t="n">
        <v>0.65</v>
      </c>
      <c r="E22" s="42" t="s">
        <v>108</v>
      </c>
      <c r="F22" s="43" t="n">
        <f aca="false">IF(C22=D22,IF(B22&gt;=C22,100,0),MAX(0,MIN(100,(B22-D22)/(C22-D22)*100)))</f>
        <v>68</v>
      </c>
      <c r="G22" s="29" t="str">
        <f aca="false">IF(F22&gt;=Control!$B$19,"GREEN",IF(F22&gt;=Control!$B$20,"AMBER","RED"))</f>
        <v>AMBER</v>
      </c>
      <c r="H22" s="19" t="n">
        <v>1</v>
      </c>
      <c r="I22" s="13" t="s">
        <v>291</v>
      </c>
    </row>
    <row r="24" customFormat="false" ht="15" hidden="false" customHeight="false" outlineLevel="0" collapsed="false">
      <c r="A24" s="23" t="s">
        <v>116</v>
      </c>
      <c r="B24" s="46" t="n">
        <f aca="false">SUMPRODUCT($F$18:$F$22,$H$18:$H$22)/SUM($H$18:$H$22)</f>
        <v>82.752380952381</v>
      </c>
    </row>
    <row r="25" customFormat="false" ht="15" hidden="false" customHeight="false" outlineLevel="0" collapsed="false">
      <c r="A25" s="23" t="s">
        <v>117</v>
      </c>
      <c r="B25" s="25" t="str">
        <f aca="false">IF(B24&gt;=Control!$B$19,"GREEN",IF(B24&gt;=Control!$B$20,"AMBER","RED"))</f>
        <v>GREEN</v>
      </c>
    </row>
    <row r="26" customFormat="false" ht="15" hidden="false" customHeight="false" outlineLevel="0" collapsed="false">
      <c r="A26" s="23" t="s">
        <v>118</v>
      </c>
      <c r="B26" s="6" t="str">
        <f aca="false">INDEX($A$18:$A$22,MATCH(MIN($F$18:$F$22),$F$18:$F$22,0))</f>
        <v>Contract renewal rate</v>
      </c>
    </row>
    <row r="27" customFormat="false" ht="31.5" hidden="false" customHeight="true" outlineLevel="0" collapsed="false">
      <c r="A27" s="47" t="s">
        <v>119</v>
      </c>
      <c r="B27" s="22" t="str">
        <f aca="false">IF(MIN($F$18:$F$22)&gt;=Control!$B$19,"Sector healthy. Keep the quarterly review and watch: "&amp;B26,INDEX($I$18:$I$22,MATCH(MIN($F$18:$F$22),$F$18:$F$22,0)))</f>
        <v>Start renewal conversations 120 days out; review churn reasons.</v>
      </c>
      <c r="C27" s="22"/>
      <c r="D27" s="22"/>
      <c r="E27" s="22"/>
      <c r="F27" s="22"/>
      <c r="G27" s="22"/>
      <c r="H27" s="22"/>
      <c r="I27" s="22"/>
    </row>
  </sheetData>
  <mergeCells count="2">
    <mergeCell ref="A2:I2"/>
    <mergeCell ref="B27:I27"/>
  </mergeCells>
  <conditionalFormatting sqref="G18:G22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5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292</v>
      </c>
    </row>
    <row r="2" customFormat="false" ht="30" hidden="false" customHeight="true" outlineLevel="0" collapsed="false">
      <c r="A2" s="33" t="s">
        <v>293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294</v>
      </c>
      <c r="B7" s="29" t="s">
        <v>234</v>
      </c>
      <c r="C7" s="35" t="n">
        <v>7000</v>
      </c>
      <c r="D7" s="36" t="n">
        <f aca="false">C7*Control!$C$16</f>
        <v>7000</v>
      </c>
      <c r="E7" s="37" t="s">
        <v>235</v>
      </c>
    </row>
    <row r="8" customFormat="false" ht="15" hidden="false" customHeight="false" outlineLevel="0" collapsed="false">
      <c r="A8" s="18" t="s">
        <v>295</v>
      </c>
      <c r="B8" s="29" t="s">
        <v>234</v>
      </c>
      <c r="C8" s="35" t="n">
        <v>1260</v>
      </c>
      <c r="D8" s="36" t="n">
        <f aca="false">C8*Control!$C$16</f>
        <v>1260</v>
      </c>
      <c r="E8" s="37"/>
    </row>
    <row r="9" customFormat="false" ht="15" hidden="false" customHeight="false" outlineLevel="0" collapsed="false">
      <c r="A9" s="18" t="s">
        <v>296</v>
      </c>
      <c r="B9" s="29" t="s">
        <v>88</v>
      </c>
      <c r="C9" s="35" t="n">
        <v>14</v>
      </c>
      <c r="D9" s="36" t="n">
        <f aca="false">C9</f>
        <v>14</v>
      </c>
      <c r="E9" s="37"/>
    </row>
    <row r="10" customFormat="false" ht="15" hidden="false" customHeight="false" outlineLevel="0" collapsed="false">
      <c r="A10" s="18" t="s">
        <v>297</v>
      </c>
      <c r="B10" s="29" t="s">
        <v>88</v>
      </c>
      <c r="C10" s="35" t="n">
        <v>10</v>
      </c>
      <c r="D10" s="36" t="n">
        <f aca="false">C10</f>
        <v>10</v>
      </c>
      <c r="E10" s="37"/>
    </row>
    <row r="11" customFormat="false" ht="15" hidden="false" customHeight="false" outlineLevel="0" collapsed="false">
      <c r="A11" s="18" t="s">
        <v>298</v>
      </c>
      <c r="B11" s="29" t="s">
        <v>141</v>
      </c>
      <c r="C11" s="41" t="n">
        <v>0.92</v>
      </c>
      <c r="D11" s="48" t="n">
        <f aca="false">C11*Control!$D$16</f>
        <v>0.92</v>
      </c>
      <c r="E11" s="37"/>
    </row>
    <row r="12" customFormat="false" ht="15" hidden="false" customHeight="false" outlineLevel="0" collapsed="false">
      <c r="A12" s="18" t="s">
        <v>299</v>
      </c>
      <c r="B12" s="29" t="s">
        <v>88</v>
      </c>
      <c r="C12" s="35" t="n">
        <v>600</v>
      </c>
      <c r="D12" s="36" t="n">
        <f aca="false">C12</f>
        <v>600</v>
      </c>
      <c r="E12" s="37"/>
    </row>
    <row r="13" customFormat="false" ht="15" hidden="false" customHeight="false" outlineLevel="0" collapsed="false">
      <c r="A13" s="18" t="s">
        <v>300</v>
      </c>
      <c r="B13" s="29" t="s">
        <v>88</v>
      </c>
      <c r="C13" s="35" t="n">
        <v>18</v>
      </c>
      <c r="D13" s="36" t="n">
        <f aca="false">C13*(1+(1-Control!$D$16)*10)</f>
        <v>18</v>
      </c>
      <c r="E13" s="37"/>
    </row>
    <row r="14" customFormat="false" ht="15" hidden="false" customHeight="false" outlineLevel="0" collapsed="false">
      <c r="A14" s="18" t="s">
        <v>301</v>
      </c>
      <c r="B14" s="29" t="s">
        <v>234</v>
      </c>
      <c r="C14" s="35" t="n">
        <v>210</v>
      </c>
      <c r="D14" s="36" t="n">
        <f aca="false">C14</f>
        <v>210</v>
      </c>
      <c r="E14" s="37"/>
    </row>
    <row r="15" customFormat="false" ht="15" hidden="false" customHeight="false" outlineLevel="0" collapsed="false">
      <c r="A15" s="18" t="s">
        <v>302</v>
      </c>
      <c r="B15" s="29" t="s">
        <v>234</v>
      </c>
      <c r="C15" s="35" t="n">
        <v>168</v>
      </c>
      <c r="D15" s="36" t="n">
        <f aca="false">C15</f>
        <v>168</v>
      </c>
      <c r="E15" s="37"/>
    </row>
    <row r="16" customFormat="false" ht="15" hidden="false" customHeight="false" outlineLevel="0" collapsed="false">
      <c r="A16" s="18" t="s">
        <v>303</v>
      </c>
      <c r="B16" s="29" t="s">
        <v>234</v>
      </c>
      <c r="C16" s="35" t="n">
        <v>2800</v>
      </c>
      <c r="D16" s="36" t="n">
        <f aca="false">C16*Control!$C$16</f>
        <v>2800</v>
      </c>
      <c r="E16" s="37"/>
    </row>
    <row r="17" customFormat="false" ht="15" hidden="false" customHeight="false" outlineLevel="0" collapsed="false">
      <c r="A17" s="18" t="s">
        <v>304</v>
      </c>
      <c r="B17" s="29" t="s">
        <v>234</v>
      </c>
      <c r="C17" s="35" t="n">
        <v>1260</v>
      </c>
      <c r="D17" s="36" t="n">
        <f aca="false">C17</f>
        <v>1260</v>
      </c>
      <c r="E17" s="37"/>
    </row>
    <row r="19" customFormat="false" ht="15" hidden="false" customHeight="false" outlineLevel="0" collapsed="false">
      <c r="A19" s="8" t="s">
        <v>99</v>
      </c>
    </row>
    <row r="20" customFormat="false" ht="30" hidden="false" customHeight="true" outlineLevel="0" collapsed="false">
      <c r="A20" s="9" t="s">
        <v>100</v>
      </c>
      <c r="B20" s="9" t="s">
        <v>101</v>
      </c>
      <c r="C20" s="9" t="s">
        <v>102</v>
      </c>
      <c r="D20" s="9" t="s">
        <v>103</v>
      </c>
      <c r="E20" s="9" t="s">
        <v>104</v>
      </c>
      <c r="F20" s="9" t="s">
        <v>105</v>
      </c>
      <c r="G20" s="9" t="s">
        <v>74</v>
      </c>
      <c r="H20" s="9" t="s">
        <v>53</v>
      </c>
      <c r="I20" s="9" t="s">
        <v>106</v>
      </c>
    </row>
    <row r="21" customFormat="false" ht="27.75" hidden="false" customHeight="true" outlineLevel="0" collapsed="false">
      <c r="A21" s="18" t="s">
        <v>305</v>
      </c>
      <c r="B21" s="40" t="n">
        <f aca="false">IFERROR($D$8/$D$7,0)</f>
        <v>0.18</v>
      </c>
      <c r="C21" s="41" t="n">
        <v>0.1</v>
      </c>
      <c r="D21" s="41" t="n">
        <v>0.3</v>
      </c>
      <c r="E21" s="42" t="s">
        <v>111</v>
      </c>
      <c r="F21" s="43" t="n">
        <f aca="false">IF(C21=D21,IF(B21&gt;=C21,100,0),MAX(0,MIN(100,(B21-D21)/(C21-D21)*100)))</f>
        <v>60</v>
      </c>
      <c r="G21" s="29" t="str">
        <f aca="false">IF(F21&gt;=Control!$B$19,"GREEN",IF(F21&gt;=Control!$B$20,"AMBER","RED"))</f>
        <v>AMBER</v>
      </c>
      <c r="H21" s="19" t="n">
        <v>2</v>
      </c>
      <c r="I21" s="13" t="s">
        <v>306</v>
      </c>
    </row>
    <row r="22" customFormat="false" ht="27.75" hidden="false" customHeight="true" outlineLevel="0" collapsed="false">
      <c r="A22" s="18" t="s">
        <v>307</v>
      </c>
      <c r="B22" s="40" t="n">
        <f aca="false">IFERROR($D$10/$D$9,0)</f>
        <v>0.714285714285714</v>
      </c>
      <c r="C22" s="41" t="n">
        <v>0.9</v>
      </c>
      <c r="D22" s="41" t="n">
        <v>0.5</v>
      </c>
      <c r="E22" s="42" t="s">
        <v>108</v>
      </c>
      <c r="F22" s="43" t="n">
        <f aca="false">IF(C22=D22,IF(B22&gt;=C22,100,0),MAX(0,MIN(100,(B22-D22)/(C22-D22)*100)))</f>
        <v>53.5714285714286</v>
      </c>
      <c r="G22" s="29" t="str">
        <f aca="false">IF(F22&gt;=Control!$B$19,"GREEN",IF(F22&gt;=Control!$B$20,"AMBER","RED"))</f>
        <v>AMBER</v>
      </c>
      <c r="H22" s="19" t="n">
        <v>2</v>
      </c>
      <c r="I22" s="13" t="s">
        <v>308</v>
      </c>
    </row>
    <row r="23" customFormat="false" ht="27.75" hidden="false" customHeight="true" outlineLevel="0" collapsed="false">
      <c r="A23" s="18" t="s">
        <v>298</v>
      </c>
      <c r="B23" s="40" t="n">
        <f aca="false">IFERROR($D$11,0)</f>
        <v>0.92</v>
      </c>
      <c r="C23" s="41" t="n">
        <v>0.95</v>
      </c>
      <c r="D23" s="41" t="n">
        <v>0.8</v>
      </c>
      <c r="E23" s="42" t="s">
        <v>108</v>
      </c>
      <c r="F23" s="43" t="n">
        <f aca="false">IF(C23=D23,IF(B23&gt;=C23,100,0),MAX(0,MIN(100,(B23-D23)/(C23-D23)*100)))</f>
        <v>80</v>
      </c>
      <c r="G23" s="29" t="str">
        <f aca="false">IF(F23&gt;=Control!$B$19,"GREEN",IF(F23&gt;=Control!$B$20,"AMBER","RED"))</f>
        <v>GREEN</v>
      </c>
      <c r="H23" s="19" t="n">
        <v>3</v>
      </c>
      <c r="I23" s="13" t="s">
        <v>309</v>
      </c>
    </row>
    <row r="24" customFormat="false" ht="27.75" hidden="false" customHeight="true" outlineLevel="0" collapsed="false">
      <c r="A24" s="18" t="s">
        <v>310</v>
      </c>
      <c r="B24" s="40" t="n">
        <f aca="false">IFERROR($D$13/$D$12,0)</f>
        <v>0.03</v>
      </c>
      <c r="C24" s="41" t="n">
        <v>0.02</v>
      </c>
      <c r="D24" s="41" t="n">
        <v>0.1</v>
      </c>
      <c r="E24" s="42" t="s">
        <v>111</v>
      </c>
      <c r="F24" s="43" t="n">
        <f aca="false">IF(C24=D24,IF(B24&gt;=C24,100,0),MAX(0,MIN(100,(B24-D24)/(C24-D24)*100)))</f>
        <v>87.5</v>
      </c>
      <c r="G24" s="29" t="str">
        <f aca="false">IF(F24&gt;=Control!$B$19,"GREEN",IF(F24&gt;=Control!$B$20,"AMBER","RED"))</f>
        <v>GREEN</v>
      </c>
      <c r="H24" s="19" t="n">
        <v>2</v>
      </c>
      <c r="I24" s="13" t="s">
        <v>311</v>
      </c>
    </row>
    <row r="25" customFormat="false" ht="27.75" hidden="false" customHeight="true" outlineLevel="0" collapsed="false">
      <c r="A25" s="18" t="s">
        <v>302</v>
      </c>
      <c r="B25" s="40" t="n">
        <f aca="false">IFERROR($D$15/$D$14,0)</f>
        <v>0.8</v>
      </c>
      <c r="C25" s="41" t="n">
        <v>0.9</v>
      </c>
      <c r="D25" s="41" t="n">
        <v>0.6</v>
      </c>
      <c r="E25" s="42" t="s">
        <v>108</v>
      </c>
      <c r="F25" s="43" t="n">
        <f aca="false">IF(C25=D25,IF(B25&gt;=C25,100,0),MAX(0,MIN(100,(B25-D25)/(C25-D25)*100)))</f>
        <v>66.6666666666667</v>
      </c>
      <c r="G25" s="29" t="str">
        <f aca="false">IF(F25&gt;=Control!$B$19,"GREEN",IF(F25&gt;=Control!$B$20,"AMBER","RED"))</f>
        <v>AMBER</v>
      </c>
      <c r="H25" s="19" t="n">
        <v>1</v>
      </c>
      <c r="I25" s="13" t="s">
        <v>312</v>
      </c>
    </row>
    <row r="26" customFormat="false" ht="27.75" hidden="false" customHeight="true" outlineLevel="0" collapsed="false">
      <c r="A26" s="18" t="s">
        <v>313</v>
      </c>
      <c r="B26" s="40" t="n">
        <f aca="false">IFERROR(MAX(0,$D$16-$D$17)/$D$7,0)</f>
        <v>0.22</v>
      </c>
      <c r="C26" s="41" t="n">
        <v>0.2</v>
      </c>
      <c r="D26" s="41" t="n">
        <v>0.5</v>
      </c>
      <c r="E26" s="42" t="s">
        <v>111</v>
      </c>
      <c r="F26" s="43" t="n">
        <f aca="false">IF(C26=D26,IF(B26&gt;=C26,100,0),MAX(0,MIN(100,(B26-D26)/(C26-D26)*100)))</f>
        <v>93.3333333333333</v>
      </c>
      <c r="G26" s="29" t="str">
        <f aca="false">IF(F26&gt;=Control!$B$19,"GREEN",IF(F26&gt;=Control!$B$20,"AMBER","RED"))</f>
        <v>GREEN</v>
      </c>
      <c r="H26" s="19" t="n">
        <v>2</v>
      </c>
      <c r="I26" s="13" t="s">
        <v>314</v>
      </c>
    </row>
    <row r="28" customFormat="false" ht="15" hidden="false" customHeight="false" outlineLevel="0" collapsed="false">
      <c r="A28" s="23" t="s">
        <v>116</v>
      </c>
      <c r="B28" s="46" t="n">
        <f aca="false">SUMPRODUCT($F$21:$F$26,$H$21:$H$26)/SUM($H$21:$H$26)</f>
        <v>74.6230158730159</v>
      </c>
    </row>
    <row r="29" customFormat="false" ht="15" hidden="false" customHeight="false" outlineLevel="0" collapsed="false">
      <c r="A29" s="23" t="s">
        <v>117</v>
      </c>
      <c r="B29" s="25" t="str">
        <f aca="false">IF(B28&gt;=Control!$B$19,"GREEN",IF(B28&gt;=Control!$B$20,"AMBER","RED"))</f>
        <v>GREEN</v>
      </c>
    </row>
    <row r="30" customFormat="false" ht="15" hidden="false" customHeight="false" outlineLevel="0" collapsed="false">
      <c r="A30" s="23" t="s">
        <v>118</v>
      </c>
      <c r="B30" s="6" t="str">
        <f aca="false">INDEX($A$21:$A$26,MATCH(MIN($F$21:$F$26),$F$21:$F$26,0))</f>
        <v>Plan-B coverage of critical categories</v>
      </c>
    </row>
    <row r="31" customFormat="false" ht="31.5" hidden="false" customHeight="true" outlineLevel="0" collapsed="false">
      <c r="A31" s="47" t="s">
        <v>119</v>
      </c>
      <c r="B31" s="22" t="str">
        <f aca="false">IF(MIN($F$21:$F$26)&gt;=Control!$B$19,"Sector healthy. Keep the quarterly review and watch: "&amp;B30,INDEX($I$21:$I$26,MATCH(MIN($F$21:$F$26),$F$21:$F$26,0)))</f>
        <v>Write and test a plan B for every critical category without one.</v>
      </c>
      <c r="C31" s="22"/>
      <c r="D31" s="22"/>
      <c r="E31" s="22"/>
      <c r="F31" s="22"/>
      <c r="G31" s="22"/>
      <c r="H31" s="22"/>
      <c r="I31" s="22"/>
    </row>
  </sheetData>
  <mergeCells count="2">
    <mergeCell ref="A2:I2"/>
    <mergeCell ref="B31:I31"/>
  </mergeCells>
  <conditionalFormatting sqref="G21:G2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9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5" t="s">
        <v>315</v>
      </c>
    </row>
    <row r="2" customFormat="false" ht="30" hidden="false" customHeight="true" outlineLevel="0" collapsed="false">
      <c r="A2" s="33" t="s">
        <v>316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6" t="s">
        <v>80</v>
      </c>
      <c r="B3" s="34" t="str">
        <f aca="false">Control!$B$4</f>
        <v>Base Case</v>
      </c>
    </row>
    <row r="5" customFormat="false" ht="15" hidden="false" customHeight="false" outlineLevel="0" collapsed="false">
      <c r="A5" s="8" t="s">
        <v>81</v>
      </c>
    </row>
    <row r="6" customFormat="false" ht="30" hidden="false" customHeight="true" outlineLevel="0" collapsed="false">
      <c r="A6" s="9" t="s">
        <v>82</v>
      </c>
      <c r="B6" s="9" t="s">
        <v>83</v>
      </c>
      <c r="C6" s="9" t="s">
        <v>84</v>
      </c>
      <c r="D6" s="9" t="s">
        <v>85</v>
      </c>
      <c r="E6" s="9" t="s">
        <v>86</v>
      </c>
    </row>
    <row r="7" customFormat="false" ht="15" hidden="false" customHeight="false" outlineLevel="0" collapsed="false">
      <c r="A7" s="18" t="s">
        <v>317</v>
      </c>
      <c r="B7" s="29" t="s">
        <v>318</v>
      </c>
      <c r="C7" s="35" t="n">
        <v>1000</v>
      </c>
      <c r="D7" s="36" t="n">
        <f aca="false">C7</f>
        <v>1000</v>
      </c>
      <c r="E7" s="37" t="s">
        <v>319</v>
      </c>
    </row>
    <row r="8" customFormat="false" ht="15" hidden="false" customHeight="false" outlineLevel="0" collapsed="false">
      <c r="A8" s="18" t="s">
        <v>320</v>
      </c>
      <c r="B8" s="29" t="s">
        <v>318</v>
      </c>
      <c r="C8" s="35" t="n">
        <v>960</v>
      </c>
      <c r="D8" s="36" t="n">
        <f aca="false">C8*Control!$D$16</f>
        <v>960</v>
      </c>
      <c r="E8" s="37"/>
    </row>
    <row r="9" customFormat="false" ht="15" hidden="false" customHeight="false" outlineLevel="0" collapsed="false">
      <c r="A9" s="18" t="s">
        <v>321</v>
      </c>
      <c r="B9" s="29" t="s">
        <v>139</v>
      </c>
      <c r="C9" s="35" t="n">
        <v>6000</v>
      </c>
      <c r="D9" s="36" t="n">
        <f aca="false">C9</f>
        <v>6000</v>
      </c>
      <c r="E9" s="37"/>
    </row>
    <row r="10" customFormat="false" ht="15" hidden="false" customHeight="false" outlineLevel="0" collapsed="false">
      <c r="A10" s="18" t="s">
        <v>322</v>
      </c>
      <c r="B10" s="29" t="s">
        <v>139</v>
      </c>
      <c r="C10" s="35" t="n">
        <v>240</v>
      </c>
      <c r="D10" s="36" t="n">
        <f aca="false">C10*Control!$I$16</f>
        <v>240</v>
      </c>
      <c r="E10" s="37"/>
    </row>
    <row r="11" customFormat="false" ht="15" hidden="false" customHeight="false" outlineLevel="0" collapsed="false">
      <c r="A11" s="18" t="s">
        <v>323</v>
      </c>
      <c r="B11" s="29" t="s">
        <v>318</v>
      </c>
      <c r="C11" s="35" t="n">
        <v>18</v>
      </c>
      <c r="D11" s="36" t="n">
        <f aca="false">C11*Control!$I$16</f>
        <v>18</v>
      </c>
      <c r="E11" s="37"/>
    </row>
    <row r="12" customFormat="false" ht="15" hidden="false" customHeight="false" outlineLevel="0" collapsed="false">
      <c r="A12" s="18" t="s">
        <v>324</v>
      </c>
      <c r="B12" s="29" t="s">
        <v>88</v>
      </c>
      <c r="C12" s="35" t="n">
        <v>2</v>
      </c>
      <c r="D12" s="36" t="n">
        <f aca="false">C12*Control!$I$16</f>
        <v>2</v>
      </c>
      <c r="E12" s="37"/>
    </row>
    <row r="13" customFormat="false" ht="15" hidden="false" customHeight="false" outlineLevel="0" collapsed="false">
      <c r="A13" s="18" t="s">
        <v>325</v>
      </c>
      <c r="B13" s="29" t="s">
        <v>141</v>
      </c>
      <c r="C13" s="41" t="n">
        <v>0.92</v>
      </c>
      <c r="D13" s="48" t="n">
        <f aca="false">C13*Control!$D$16</f>
        <v>0.92</v>
      </c>
      <c r="E13" s="37"/>
    </row>
    <row r="15" customFormat="false" ht="15" hidden="false" customHeight="false" outlineLevel="0" collapsed="false">
      <c r="A15" s="8" t="s">
        <v>99</v>
      </c>
    </row>
    <row r="16" customFormat="false" ht="30" hidden="false" customHeight="true" outlineLevel="0" collapsed="false">
      <c r="A16" s="9" t="s">
        <v>100</v>
      </c>
      <c r="B16" s="9" t="s">
        <v>101</v>
      </c>
      <c r="C16" s="9" t="s">
        <v>102</v>
      </c>
      <c r="D16" s="9" t="s">
        <v>103</v>
      </c>
      <c r="E16" s="9" t="s">
        <v>104</v>
      </c>
      <c r="F16" s="9" t="s">
        <v>105</v>
      </c>
      <c r="G16" s="9" t="s">
        <v>74</v>
      </c>
      <c r="H16" s="9" t="s">
        <v>53</v>
      </c>
      <c r="I16" s="9" t="s">
        <v>106</v>
      </c>
    </row>
    <row r="17" customFormat="false" ht="27.75" hidden="false" customHeight="true" outlineLevel="0" collapsed="false">
      <c r="A17" s="18" t="s">
        <v>326</v>
      </c>
      <c r="B17" s="40" t="n">
        <f aca="false">IFERROR($D$8/$D$7,0)</f>
        <v>0.96</v>
      </c>
      <c r="C17" s="41" t="n">
        <v>0.97</v>
      </c>
      <c r="D17" s="41" t="n">
        <v>0.8</v>
      </c>
      <c r="E17" s="42" t="s">
        <v>108</v>
      </c>
      <c r="F17" s="43" t="n">
        <f aca="false">IF(C17=D17,IF(B17&gt;=C17,100,0),MAX(0,MIN(100,(B17-D17)/(C17-D17)*100)))</f>
        <v>94.1176470588235</v>
      </c>
      <c r="G17" s="29" t="str">
        <f aca="false">IF(F17&gt;=Control!$B$19,"GREEN",IF(F17&gt;=Control!$B$20,"AMBER","RED"))</f>
        <v>GREEN</v>
      </c>
      <c r="H17" s="19" t="n">
        <v>3</v>
      </c>
      <c r="I17" s="13" t="s">
        <v>327</v>
      </c>
    </row>
    <row r="18" customFormat="false" ht="27.75" hidden="false" customHeight="true" outlineLevel="0" collapsed="false">
      <c r="A18" s="18" t="s">
        <v>328</v>
      </c>
      <c r="B18" s="40" t="n">
        <f aca="false">IFERROR($D$10/$D$9,0)</f>
        <v>0.04</v>
      </c>
      <c r="C18" s="41" t="n">
        <v>0.03</v>
      </c>
      <c r="D18" s="41" t="n">
        <v>0.1</v>
      </c>
      <c r="E18" s="42" t="s">
        <v>111</v>
      </c>
      <c r="F18" s="43" t="n">
        <f aca="false">IF(C18=D18,IF(B18&gt;=C18,100,0),MAX(0,MIN(100,(B18-D18)/(C18-D18)*100)))</f>
        <v>85.7142857142857</v>
      </c>
      <c r="G18" s="29" t="str">
        <f aca="false">IF(F18&gt;=Control!$B$19,"GREEN",IF(F18&gt;=Control!$B$20,"AMBER","RED"))</f>
        <v>GREEN</v>
      </c>
      <c r="H18" s="19" t="n">
        <v>2</v>
      </c>
      <c r="I18" s="13" t="s">
        <v>329</v>
      </c>
    </row>
    <row r="19" customFormat="false" ht="27.75" hidden="false" customHeight="true" outlineLevel="0" collapsed="false">
      <c r="A19" s="18" t="s">
        <v>330</v>
      </c>
      <c r="B19" s="40" t="n">
        <f aca="false">IFERROR($D$11/$D$8,0)</f>
        <v>0.01875</v>
      </c>
      <c r="C19" s="41" t="n">
        <v>0.015</v>
      </c>
      <c r="D19" s="41" t="n">
        <v>0.06</v>
      </c>
      <c r="E19" s="42" t="s">
        <v>111</v>
      </c>
      <c r="F19" s="43" t="n">
        <f aca="false">IF(C19=D19,IF(B19&gt;=C19,100,0),MAX(0,MIN(100,(B19-D19)/(C19-D19)*100)))</f>
        <v>91.6666666666667</v>
      </c>
      <c r="G19" s="29" t="str">
        <f aca="false">IF(F19&gt;=Control!$B$19,"GREEN",IF(F19&gt;=Control!$B$20,"AMBER","RED"))</f>
        <v>GREEN</v>
      </c>
      <c r="H19" s="19" t="n">
        <v>2</v>
      </c>
      <c r="I19" s="13" t="s">
        <v>331</v>
      </c>
    </row>
    <row r="20" customFormat="false" ht="27.75" hidden="false" customHeight="true" outlineLevel="0" collapsed="false">
      <c r="A20" s="18" t="s">
        <v>324</v>
      </c>
      <c r="B20" s="45" t="n">
        <f aca="false">IFERROR($D$12,0)</f>
        <v>2</v>
      </c>
      <c r="C20" s="35" t="n">
        <v>0</v>
      </c>
      <c r="D20" s="35" t="n">
        <v>5</v>
      </c>
      <c r="E20" s="42" t="s">
        <v>111</v>
      </c>
      <c r="F20" s="43" t="n">
        <f aca="false">IF(C20=D20,IF(B20&gt;=C20,100,0),MAX(0,MIN(100,(B20-D20)/(C20-D20)*100)))</f>
        <v>60</v>
      </c>
      <c r="G20" s="29" t="str">
        <f aca="false">IF(F20&gt;=Control!$B$19,"GREEN",IF(F20&gt;=Control!$B$20,"AMBER","RED"))</f>
        <v>AMBER</v>
      </c>
      <c r="H20" s="19" t="n">
        <v>3</v>
      </c>
      <c r="I20" s="13" t="s">
        <v>332</v>
      </c>
    </row>
    <row r="21" customFormat="false" ht="27.75" hidden="false" customHeight="true" outlineLevel="0" collapsed="false">
      <c r="A21" s="18" t="s">
        <v>325</v>
      </c>
      <c r="B21" s="40" t="n">
        <f aca="false">IFERROR($D$13,0)</f>
        <v>0.92</v>
      </c>
      <c r="C21" s="41" t="n">
        <v>0.95</v>
      </c>
      <c r="D21" s="41" t="n">
        <v>0.75</v>
      </c>
      <c r="E21" s="42" t="s">
        <v>108</v>
      </c>
      <c r="F21" s="43" t="n">
        <f aca="false">IF(C21=D21,IF(B21&gt;=C21,100,0),MAX(0,MIN(100,(B21-D21)/(C21-D21)*100)))</f>
        <v>85</v>
      </c>
      <c r="G21" s="29" t="str">
        <f aca="false">IF(F21&gt;=Control!$B$19,"GREEN",IF(F21&gt;=Control!$B$20,"AMBER","RED"))</f>
        <v>GREEN</v>
      </c>
      <c r="H21" s="19" t="n">
        <v>1</v>
      </c>
      <c r="I21" s="13" t="s">
        <v>333</v>
      </c>
    </row>
    <row r="23" customFormat="false" ht="15" hidden="false" customHeight="false" outlineLevel="0" collapsed="false">
      <c r="A23" s="23" t="s">
        <v>116</v>
      </c>
      <c r="B23" s="46" t="n">
        <f aca="false">SUMPRODUCT($F$17:$F$21,$H$17:$H$21)/SUM($H$17:$H$21)</f>
        <v>82.0104405398523</v>
      </c>
    </row>
    <row r="24" customFormat="false" ht="15" hidden="false" customHeight="false" outlineLevel="0" collapsed="false">
      <c r="A24" s="23" t="s">
        <v>117</v>
      </c>
      <c r="B24" s="25" t="str">
        <f aca="false">IF(B23&gt;=Control!$B$19,"GREEN",IF(B23&gt;=Control!$B$20,"AMBER","RED"))</f>
        <v>GREEN</v>
      </c>
    </row>
    <row r="25" customFormat="false" ht="15" hidden="false" customHeight="false" outlineLevel="0" collapsed="false">
      <c r="A25" s="23" t="s">
        <v>118</v>
      </c>
      <c r="B25" s="6" t="str">
        <f aca="false">INDEX($A$17:$A$21,MATCH(MIN($F$17:$F$21),$F$17:$F$21,0))</f>
        <v>Lost-time injuries</v>
      </c>
    </row>
    <row r="26" customFormat="false" ht="31.5" hidden="false" customHeight="true" outlineLevel="0" collapsed="false">
      <c r="A26" s="47" t="s">
        <v>119</v>
      </c>
      <c r="B26" s="22" t="str">
        <f aca="false">IF(MIN($F$17:$F$21)&gt;=Control!$B$19,"Sector healthy. Keep the quarterly review and watch: "&amp;B25,INDEX($I$17:$I$21,MATCH(MIN($F$17:$F$21),$F$17:$F$21,0)))</f>
        <v>Treat every injury as a board-level event; independent safety review within 30 days.</v>
      </c>
      <c r="C26" s="22"/>
      <c r="D26" s="22"/>
      <c r="E26" s="22"/>
      <c r="F26" s="22"/>
      <c r="G26" s="22"/>
      <c r="H26" s="22"/>
      <c r="I26" s="22"/>
    </row>
  </sheetData>
  <mergeCells count="2">
    <mergeCell ref="A2:I2"/>
    <mergeCell ref="B26:I26"/>
  </mergeCells>
  <conditionalFormatting sqref="G17:G21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B24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7" min="4" style="0" width="30"/>
    <col collapsed="false" customWidth="true" hidden="false" outlineLevel="0" max="10" min="8" style="0" width="12"/>
    <col collapsed="false" customWidth="true" hidden="false" outlineLevel="0" max="11" min="11" style="0" width="62"/>
    <col collapsed="false" customWidth="true" hidden="true" outlineLevel="0" max="13" min="12" style="0" width="6"/>
  </cols>
  <sheetData>
    <row r="1" customFormat="false" ht="17.35" hidden="false" customHeight="false" outlineLevel="0" collapsed="false">
      <c r="A1" s="5" t="s">
        <v>334</v>
      </c>
    </row>
    <row r="2" customFormat="false" ht="15" hidden="false" customHeight="false" outlineLevel="0" collapsed="false">
      <c r="A2" s="2" t="s">
        <v>335</v>
      </c>
    </row>
    <row r="3" customFormat="false" ht="15" hidden="false" customHeight="false" outlineLevel="0" collapsed="false">
      <c r="B3" s="6" t="s">
        <v>336</v>
      </c>
      <c r="C3" s="7" t="s">
        <v>337</v>
      </c>
    </row>
    <row r="5" customFormat="false" ht="15" hidden="false" customHeight="false" outlineLevel="0" collapsed="false">
      <c r="B5" s="6" t="s">
        <v>338</v>
      </c>
      <c r="C5" s="52" t="n">
        <f aca="false">COUNTA(H12:H35)</f>
        <v>0</v>
      </c>
    </row>
    <row r="6" customFormat="false" ht="15" hidden="false" customHeight="false" outlineLevel="0" collapsed="false">
      <c r="B6" s="6" t="s">
        <v>339</v>
      </c>
      <c r="C6" s="52" t="n">
        <f aca="false">COUNTIF(I12:I35,"Correct")</f>
        <v>0</v>
      </c>
    </row>
    <row r="7" customFormat="false" ht="15" hidden="false" customHeight="false" outlineLevel="0" collapsed="false">
      <c r="B7" s="6" t="s">
        <v>340</v>
      </c>
      <c r="C7" s="53" t="n">
        <f aca="false">C6/24</f>
        <v>0</v>
      </c>
    </row>
    <row r="8" customFormat="false" ht="15" hidden="false" customHeight="false" outlineLevel="0" collapsed="false">
      <c r="B8" s="6" t="s">
        <v>341</v>
      </c>
      <c r="C8" s="10" t="str">
        <f aca="false">IF(C5&lt;24,"Answer all 24 questions to get a result",IF(C7&gt;=0.85,"Chair-ready",IF(C7&gt;=0.7,"Board-ready",IF(C7&gt;=0.5,"Developing: revisit the sector tabs","Revisit the roadmap and try again"))))</f>
        <v>Answer all 24 questions to get a result</v>
      </c>
    </row>
    <row r="11" customFormat="false" ht="30" hidden="false" customHeight="true" outlineLevel="0" collapsed="false">
      <c r="A11" s="9" t="s">
        <v>72</v>
      </c>
      <c r="B11" s="9" t="s">
        <v>52</v>
      </c>
      <c r="C11" s="9" t="s">
        <v>342</v>
      </c>
      <c r="D11" s="9" t="s">
        <v>343</v>
      </c>
      <c r="E11" s="9" t="s">
        <v>344</v>
      </c>
      <c r="F11" s="9" t="s">
        <v>345</v>
      </c>
      <c r="G11" s="9" t="s">
        <v>346</v>
      </c>
      <c r="H11" s="9" t="s">
        <v>347</v>
      </c>
      <c r="I11" s="9" t="s">
        <v>341</v>
      </c>
      <c r="J11" s="9" t="s">
        <v>348</v>
      </c>
      <c r="K11" s="9" t="s">
        <v>349</v>
      </c>
      <c r="L11" s="9" t="s">
        <v>350</v>
      </c>
      <c r="M11" s="9" t="s">
        <v>351</v>
      </c>
    </row>
    <row r="12" customFormat="false" ht="57.75" hidden="false" customHeight="true" outlineLevel="0" collapsed="false">
      <c r="A12" s="54" t="n">
        <v>1</v>
      </c>
      <c r="B12" s="55" t="s">
        <v>54</v>
      </c>
      <c r="C12" s="55" t="s">
        <v>352</v>
      </c>
      <c r="D12" s="55" t="s">
        <v>353</v>
      </c>
      <c r="E12" s="55" t="s">
        <v>354</v>
      </c>
      <c r="F12" s="55" t="s">
        <v>355</v>
      </c>
      <c r="G12" s="55" t="s">
        <v>356</v>
      </c>
      <c r="H12" s="56"/>
      <c r="I12" s="54" t="str">
        <f aca="false">IF(H12="","",IF(H12=L12,"Correct","Incorrect"))</f>
        <v/>
      </c>
      <c r="J12" s="54" t="str">
        <f aca="false">IF($C$3="Yes",L12,"(hidden)")</f>
        <v>(hidden)</v>
      </c>
      <c r="K12" s="57" t="str">
        <f aca="false">IF($C$3="Yes",M12,"(hidden until Reveal = Yes)")</f>
        <v>(hidden until Reveal = Yes)</v>
      </c>
      <c r="L12" s="58" t="s">
        <v>344</v>
      </c>
      <c r="M12" s="58" t="s">
        <v>357</v>
      </c>
    </row>
    <row r="13" customFormat="false" ht="57.75" hidden="false" customHeight="true" outlineLevel="0" collapsed="false">
      <c r="A13" s="54" t="n">
        <v>2</v>
      </c>
      <c r="B13" s="55" t="s">
        <v>54</v>
      </c>
      <c r="C13" s="55" t="s">
        <v>358</v>
      </c>
      <c r="D13" s="55" t="s">
        <v>359</v>
      </c>
      <c r="E13" s="55" t="s">
        <v>360</v>
      </c>
      <c r="F13" s="55" t="s">
        <v>361</v>
      </c>
      <c r="G13" s="55" t="s">
        <v>362</v>
      </c>
      <c r="H13" s="56"/>
      <c r="I13" s="54" t="str">
        <f aca="false">IF(H13="","",IF(H13=L13,"Correct","Incorrect"))</f>
        <v/>
      </c>
      <c r="J13" s="54" t="str">
        <f aca="false">IF($C$3="Yes",L13,"(hidden)")</f>
        <v>(hidden)</v>
      </c>
      <c r="K13" s="57" t="str">
        <f aca="false">IF($C$3="Yes",M13,"(hidden until Reveal = Yes)")</f>
        <v>(hidden until Reveal = Yes)</v>
      </c>
      <c r="L13" s="58" t="s">
        <v>343</v>
      </c>
      <c r="M13" s="58" t="s">
        <v>363</v>
      </c>
    </row>
    <row r="14" customFormat="false" ht="57.75" hidden="false" customHeight="true" outlineLevel="0" collapsed="false">
      <c r="A14" s="54" t="n">
        <v>3</v>
      </c>
      <c r="B14" s="55" t="s">
        <v>55</v>
      </c>
      <c r="C14" s="55" t="s">
        <v>364</v>
      </c>
      <c r="D14" s="55" t="s">
        <v>365</v>
      </c>
      <c r="E14" s="55" t="s">
        <v>366</v>
      </c>
      <c r="F14" s="55" t="s">
        <v>367</v>
      </c>
      <c r="G14" s="55" t="s">
        <v>368</v>
      </c>
      <c r="H14" s="56"/>
      <c r="I14" s="54" t="str">
        <f aca="false">IF(H14="","",IF(H14=L14,"Correct","Incorrect"))</f>
        <v/>
      </c>
      <c r="J14" s="54" t="str">
        <f aca="false">IF($C$3="Yes",L14,"(hidden)")</f>
        <v>(hidden)</v>
      </c>
      <c r="K14" s="57" t="str">
        <f aca="false">IF($C$3="Yes",M14,"(hidden until Reveal = Yes)")</f>
        <v>(hidden until Reveal = Yes)</v>
      </c>
      <c r="L14" s="58" t="s">
        <v>345</v>
      </c>
      <c r="M14" s="58" t="s">
        <v>369</v>
      </c>
    </row>
    <row r="15" customFormat="false" ht="57.75" hidden="false" customHeight="true" outlineLevel="0" collapsed="false">
      <c r="A15" s="54" t="n">
        <v>4</v>
      </c>
      <c r="B15" s="55" t="s">
        <v>55</v>
      </c>
      <c r="C15" s="55" t="s">
        <v>370</v>
      </c>
      <c r="D15" s="55" t="s">
        <v>371</v>
      </c>
      <c r="E15" s="55" t="s">
        <v>372</v>
      </c>
      <c r="F15" s="55" t="s">
        <v>373</v>
      </c>
      <c r="G15" s="55" t="s">
        <v>374</v>
      </c>
      <c r="H15" s="56"/>
      <c r="I15" s="54" t="str">
        <f aca="false">IF(H15="","",IF(H15=L15,"Correct","Incorrect"))</f>
        <v/>
      </c>
      <c r="J15" s="54" t="str">
        <f aca="false">IF($C$3="Yes",L15,"(hidden)")</f>
        <v>(hidden)</v>
      </c>
      <c r="K15" s="57" t="str">
        <f aca="false">IF($C$3="Yes",M15,"(hidden until Reveal = Yes)")</f>
        <v>(hidden until Reveal = Yes)</v>
      </c>
      <c r="L15" s="58" t="s">
        <v>346</v>
      </c>
      <c r="M15" s="58" t="s">
        <v>375</v>
      </c>
    </row>
    <row r="16" customFormat="false" ht="57.75" hidden="false" customHeight="true" outlineLevel="0" collapsed="false">
      <c r="A16" s="54" t="n">
        <v>5</v>
      </c>
      <c r="B16" s="55" t="s">
        <v>56</v>
      </c>
      <c r="C16" s="55" t="s">
        <v>376</v>
      </c>
      <c r="D16" s="55" t="s">
        <v>377</v>
      </c>
      <c r="E16" s="55" t="s">
        <v>378</v>
      </c>
      <c r="F16" s="55" t="s">
        <v>379</v>
      </c>
      <c r="G16" s="55" t="s">
        <v>380</v>
      </c>
      <c r="H16" s="56"/>
      <c r="I16" s="54" t="str">
        <f aca="false">IF(H16="","",IF(H16=L16,"Correct","Incorrect"))</f>
        <v/>
      </c>
      <c r="J16" s="54" t="str">
        <f aca="false">IF($C$3="Yes",L16,"(hidden)")</f>
        <v>(hidden)</v>
      </c>
      <c r="K16" s="57" t="str">
        <f aca="false">IF($C$3="Yes",M16,"(hidden until Reveal = Yes)")</f>
        <v>(hidden until Reveal = Yes)</v>
      </c>
      <c r="L16" s="58" t="s">
        <v>344</v>
      </c>
      <c r="M16" s="58" t="s">
        <v>381</v>
      </c>
    </row>
    <row r="17" customFormat="false" ht="57.75" hidden="false" customHeight="true" outlineLevel="0" collapsed="false">
      <c r="A17" s="54" t="n">
        <v>6</v>
      </c>
      <c r="B17" s="55" t="s">
        <v>56</v>
      </c>
      <c r="C17" s="55" t="s">
        <v>382</v>
      </c>
      <c r="D17" s="55" t="s">
        <v>383</v>
      </c>
      <c r="E17" s="55" t="s">
        <v>384</v>
      </c>
      <c r="F17" s="55" t="s">
        <v>385</v>
      </c>
      <c r="G17" s="55" t="s">
        <v>386</v>
      </c>
      <c r="H17" s="56"/>
      <c r="I17" s="54" t="str">
        <f aca="false">IF(H17="","",IF(H17=L17,"Correct","Incorrect"))</f>
        <v/>
      </c>
      <c r="J17" s="54" t="str">
        <f aca="false">IF($C$3="Yes",L17,"(hidden)")</f>
        <v>(hidden)</v>
      </c>
      <c r="K17" s="57" t="str">
        <f aca="false">IF($C$3="Yes",M17,"(hidden until Reveal = Yes)")</f>
        <v>(hidden until Reveal = Yes)</v>
      </c>
      <c r="L17" s="58" t="s">
        <v>345</v>
      </c>
      <c r="M17" s="58" t="s">
        <v>387</v>
      </c>
    </row>
    <row r="18" customFormat="false" ht="57.75" hidden="false" customHeight="true" outlineLevel="0" collapsed="false">
      <c r="A18" s="54" t="n">
        <v>7</v>
      </c>
      <c r="B18" s="55" t="s">
        <v>57</v>
      </c>
      <c r="C18" s="55" t="s">
        <v>388</v>
      </c>
      <c r="D18" s="55" t="s">
        <v>389</v>
      </c>
      <c r="E18" s="55" t="s">
        <v>390</v>
      </c>
      <c r="F18" s="55" t="s">
        <v>391</v>
      </c>
      <c r="G18" s="55" t="s">
        <v>392</v>
      </c>
      <c r="H18" s="56"/>
      <c r="I18" s="54" t="str">
        <f aca="false">IF(H18="","",IF(H18=L18,"Correct","Incorrect"))</f>
        <v/>
      </c>
      <c r="J18" s="54" t="str">
        <f aca="false">IF($C$3="Yes",L18,"(hidden)")</f>
        <v>(hidden)</v>
      </c>
      <c r="K18" s="57" t="str">
        <f aca="false">IF($C$3="Yes",M18,"(hidden until Reveal = Yes)")</f>
        <v>(hidden until Reveal = Yes)</v>
      </c>
      <c r="L18" s="58" t="s">
        <v>343</v>
      </c>
      <c r="M18" s="58" t="s">
        <v>393</v>
      </c>
    </row>
    <row r="19" customFormat="false" ht="57.75" hidden="false" customHeight="true" outlineLevel="0" collapsed="false">
      <c r="A19" s="54" t="n">
        <v>8</v>
      </c>
      <c r="B19" s="55" t="s">
        <v>57</v>
      </c>
      <c r="C19" s="55" t="s">
        <v>394</v>
      </c>
      <c r="D19" s="55" t="s">
        <v>395</v>
      </c>
      <c r="E19" s="55" t="s">
        <v>396</v>
      </c>
      <c r="F19" s="55" t="s">
        <v>397</v>
      </c>
      <c r="G19" s="55" t="s">
        <v>398</v>
      </c>
      <c r="H19" s="56"/>
      <c r="I19" s="54" t="str">
        <f aca="false">IF(H19="","",IF(H19=L19,"Correct","Incorrect"))</f>
        <v/>
      </c>
      <c r="J19" s="54" t="str">
        <f aca="false">IF($C$3="Yes",L19,"(hidden)")</f>
        <v>(hidden)</v>
      </c>
      <c r="K19" s="57" t="str">
        <f aca="false">IF($C$3="Yes",M19,"(hidden until Reveal = Yes)")</f>
        <v>(hidden until Reveal = Yes)</v>
      </c>
      <c r="L19" s="58" t="s">
        <v>346</v>
      </c>
      <c r="M19" s="58" t="s">
        <v>399</v>
      </c>
    </row>
    <row r="20" customFormat="false" ht="57.75" hidden="false" customHeight="true" outlineLevel="0" collapsed="false">
      <c r="A20" s="54" t="n">
        <v>9</v>
      </c>
      <c r="B20" s="55" t="s">
        <v>58</v>
      </c>
      <c r="C20" s="55" t="s">
        <v>400</v>
      </c>
      <c r="D20" s="55" t="s">
        <v>401</v>
      </c>
      <c r="E20" s="55" t="s">
        <v>402</v>
      </c>
      <c r="F20" s="55" t="s">
        <v>403</v>
      </c>
      <c r="G20" s="55" t="s">
        <v>404</v>
      </c>
      <c r="H20" s="56"/>
      <c r="I20" s="54" t="str">
        <f aca="false">IF(H20="","",IF(H20=L20,"Correct","Incorrect"))</f>
        <v/>
      </c>
      <c r="J20" s="54" t="str">
        <f aca="false">IF($C$3="Yes",L20,"(hidden)")</f>
        <v>(hidden)</v>
      </c>
      <c r="K20" s="57" t="str">
        <f aca="false">IF($C$3="Yes",M20,"(hidden until Reveal = Yes)")</f>
        <v>(hidden until Reveal = Yes)</v>
      </c>
      <c r="L20" s="58" t="s">
        <v>345</v>
      </c>
      <c r="M20" s="58" t="s">
        <v>405</v>
      </c>
    </row>
    <row r="21" customFormat="false" ht="57.75" hidden="false" customHeight="true" outlineLevel="0" collapsed="false">
      <c r="A21" s="54" t="n">
        <v>10</v>
      </c>
      <c r="B21" s="55" t="s">
        <v>58</v>
      </c>
      <c r="C21" s="55" t="s">
        <v>406</v>
      </c>
      <c r="D21" s="55" t="s">
        <v>407</v>
      </c>
      <c r="E21" s="55" t="s">
        <v>408</v>
      </c>
      <c r="F21" s="55" t="s">
        <v>409</v>
      </c>
      <c r="G21" s="55" t="s">
        <v>410</v>
      </c>
      <c r="H21" s="56"/>
      <c r="I21" s="54" t="str">
        <f aca="false">IF(H21="","",IF(H21=L21,"Correct","Incorrect"))</f>
        <v/>
      </c>
      <c r="J21" s="54" t="str">
        <f aca="false">IF($C$3="Yes",L21,"(hidden)")</f>
        <v>(hidden)</v>
      </c>
      <c r="K21" s="57" t="str">
        <f aca="false">IF($C$3="Yes",M21,"(hidden until Reveal = Yes)")</f>
        <v>(hidden until Reveal = Yes)</v>
      </c>
      <c r="L21" s="58" t="s">
        <v>344</v>
      </c>
      <c r="M21" s="58" t="s">
        <v>411</v>
      </c>
    </row>
    <row r="22" customFormat="false" ht="57.75" hidden="false" customHeight="true" outlineLevel="0" collapsed="false">
      <c r="A22" s="54" t="n">
        <v>11</v>
      </c>
      <c r="B22" s="55" t="s">
        <v>59</v>
      </c>
      <c r="C22" s="55" t="s">
        <v>412</v>
      </c>
      <c r="D22" s="55" t="s">
        <v>413</v>
      </c>
      <c r="E22" s="55" t="s">
        <v>414</v>
      </c>
      <c r="F22" s="55" t="s">
        <v>415</v>
      </c>
      <c r="G22" s="55" t="s">
        <v>416</v>
      </c>
      <c r="H22" s="56"/>
      <c r="I22" s="54" t="str">
        <f aca="false">IF(H22="","",IF(H22=L22,"Correct","Incorrect"))</f>
        <v/>
      </c>
      <c r="J22" s="54" t="str">
        <f aca="false">IF($C$3="Yes",L22,"(hidden)")</f>
        <v>(hidden)</v>
      </c>
      <c r="K22" s="57" t="str">
        <f aca="false">IF($C$3="Yes",M22,"(hidden until Reveal = Yes)")</f>
        <v>(hidden until Reveal = Yes)</v>
      </c>
      <c r="L22" s="58" t="s">
        <v>346</v>
      </c>
      <c r="M22" s="58" t="s">
        <v>417</v>
      </c>
    </row>
    <row r="23" customFormat="false" ht="57.75" hidden="false" customHeight="true" outlineLevel="0" collapsed="false">
      <c r="A23" s="54" t="n">
        <v>12</v>
      </c>
      <c r="B23" s="55" t="s">
        <v>59</v>
      </c>
      <c r="C23" s="55" t="s">
        <v>418</v>
      </c>
      <c r="D23" s="55" t="s">
        <v>419</v>
      </c>
      <c r="E23" s="55" t="s">
        <v>420</v>
      </c>
      <c r="F23" s="55" t="s">
        <v>421</v>
      </c>
      <c r="G23" s="55" t="s">
        <v>422</v>
      </c>
      <c r="H23" s="56"/>
      <c r="I23" s="54" t="str">
        <f aca="false">IF(H23="","",IF(H23=L23,"Correct","Incorrect"))</f>
        <v/>
      </c>
      <c r="J23" s="54" t="str">
        <f aca="false">IF($C$3="Yes",L23,"(hidden)")</f>
        <v>(hidden)</v>
      </c>
      <c r="K23" s="57" t="str">
        <f aca="false">IF($C$3="Yes",M23,"(hidden until Reveal = Yes)")</f>
        <v>(hidden until Reveal = Yes)</v>
      </c>
      <c r="L23" s="58" t="s">
        <v>343</v>
      </c>
      <c r="M23" s="58" t="s">
        <v>423</v>
      </c>
    </row>
    <row r="24" customFormat="false" ht="57.75" hidden="false" customHeight="true" outlineLevel="0" collapsed="false">
      <c r="A24" s="54" t="n">
        <v>13</v>
      </c>
      <c r="B24" s="55" t="s">
        <v>60</v>
      </c>
      <c r="C24" s="55" t="s">
        <v>424</v>
      </c>
      <c r="D24" s="55" t="s">
        <v>425</v>
      </c>
      <c r="E24" s="55" t="s">
        <v>426</v>
      </c>
      <c r="F24" s="55" t="s">
        <v>427</v>
      </c>
      <c r="G24" s="55" t="s">
        <v>428</v>
      </c>
      <c r="H24" s="56"/>
      <c r="I24" s="54" t="str">
        <f aca="false">IF(H24="","",IF(H24=L24,"Correct","Incorrect"))</f>
        <v/>
      </c>
      <c r="J24" s="54" t="str">
        <f aca="false">IF($C$3="Yes",L24,"(hidden)")</f>
        <v>(hidden)</v>
      </c>
      <c r="K24" s="57" t="str">
        <f aca="false">IF($C$3="Yes",M24,"(hidden until Reveal = Yes)")</f>
        <v>(hidden until Reveal = Yes)</v>
      </c>
      <c r="L24" s="58" t="s">
        <v>344</v>
      </c>
      <c r="M24" s="58" t="s">
        <v>429</v>
      </c>
    </row>
    <row r="25" customFormat="false" ht="57.75" hidden="false" customHeight="true" outlineLevel="0" collapsed="false">
      <c r="A25" s="54" t="n">
        <v>14</v>
      </c>
      <c r="B25" s="55" t="s">
        <v>60</v>
      </c>
      <c r="C25" s="55" t="s">
        <v>430</v>
      </c>
      <c r="D25" s="55" t="s">
        <v>431</v>
      </c>
      <c r="E25" s="55" t="s">
        <v>432</v>
      </c>
      <c r="F25" s="55" t="s">
        <v>433</v>
      </c>
      <c r="G25" s="55" t="s">
        <v>434</v>
      </c>
      <c r="H25" s="56"/>
      <c r="I25" s="54" t="str">
        <f aca="false">IF(H25="","",IF(H25=L25,"Correct","Incorrect"))</f>
        <v/>
      </c>
      <c r="J25" s="54" t="str">
        <f aca="false">IF($C$3="Yes",L25,"(hidden)")</f>
        <v>(hidden)</v>
      </c>
      <c r="K25" s="57" t="str">
        <f aca="false">IF($C$3="Yes",M25,"(hidden until Reveal = Yes)")</f>
        <v>(hidden until Reveal = Yes)</v>
      </c>
      <c r="L25" s="58" t="s">
        <v>346</v>
      </c>
      <c r="M25" s="58" t="s">
        <v>435</v>
      </c>
    </row>
    <row r="26" customFormat="false" ht="57.75" hidden="false" customHeight="true" outlineLevel="0" collapsed="false">
      <c r="A26" s="54" t="n">
        <v>15</v>
      </c>
      <c r="B26" s="55" t="s">
        <v>61</v>
      </c>
      <c r="C26" s="55" t="s">
        <v>436</v>
      </c>
      <c r="D26" s="55" t="s">
        <v>437</v>
      </c>
      <c r="E26" s="55" t="s">
        <v>438</v>
      </c>
      <c r="F26" s="55" t="s">
        <v>439</v>
      </c>
      <c r="G26" s="55" t="s">
        <v>440</v>
      </c>
      <c r="H26" s="56"/>
      <c r="I26" s="54" t="str">
        <f aca="false">IF(H26="","",IF(H26=L26,"Correct","Incorrect"))</f>
        <v/>
      </c>
      <c r="J26" s="54" t="str">
        <f aca="false">IF($C$3="Yes",L26,"(hidden)")</f>
        <v>(hidden)</v>
      </c>
      <c r="K26" s="57" t="str">
        <f aca="false">IF($C$3="Yes",M26,"(hidden until Reveal = Yes)")</f>
        <v>(hidden until Reveal = Yes)</v>
      </c>
      <c r="L26" s="58" t="s">
        <v>345</v>
      </c>
      <c r="M26" s="58" t="s">
        <v>441</v>
      </c>
    </row>
    <row r="27" customFormat="false" ht="57.75" hidden="false" customHeight="true" outlineLevel="0" collapsed="false">
      <c r="A27" s="54" t="n">
        <v>16</v>
      </c>
      <c r="B27" s="55" t="s">
        <v>61</v>
      </c>
      <c r="C27" s="55" t="s">
        <v>442</v>
      </c>
      <c r="D27" s="55" t="s">
        <v>443</v>
      </c>
      <c r="E27" s="55" t="s">
        <v>444</v>
      </c>
      <c r="F27" s="55" t="s">
        <v>445</v>
      </c>
      <c r="G27" s="55" t="s">
        <v>446</v>
      </c>
      <c r="H27" s="56"/>
      <c r="I27" s="54" t="str">
        <f aca="false">IF(H27="","",IF(H27=L27,"Correct","Incorrect"))</f>
        <v/>
      </c>
      <c r="J27" s="54" t="str">
        <f aca="false">IF($C$3="Yes",L27,"(hidden)")</f>
        <v>(hidden)</v>
      </c>
      <c r="K27" s="57" t="str">
        <f aca="false">IF($C$3="Yes",M27,"(hidden until Reveal = Yes)")</f>
        <v>(hidden until Reveal = Yes)</v>
      </c>
      <c r="L27" s="58" t="s">
        <v>343</v>
      </c>
      <c r="M27" s="58" t="s">
        <v>447</v>
      </c>
    </row>
    <row r="28" customFormat="false" ht="57.75" hidden="false" customHeight="true" outlineLevel="0" collapsed="false">
      <c r="A28" s="54" t="n">
        <v>17</v>
      </c>
      <c r="B28" s="55" t="s">
        <v>62</v>
      </c>
      <c r="C28" s="55" t="s">
        <v>448</v>
      </c>
      <c r="D28" s="55" t="s">
        <v>449</v>
      </c>
      <c r="E28" s="55" t="s">
        <v>450</v>
      </c>
      <c r="F28" s="55" t="s">
        <v>451</v>
      </c>
      <c r="G28" s="55" t="s">
        <v>452</v>
      </c>
      <c r="H28" s="56"/>
      <c r="I28" s="54" t="str">
        <f aca="false">IF(H28="","",IF(H28=L28,"Correct","Incorrect"))</f>
        <v/>
      </c>
      <c r="J28" s="54" t="str">
        <f aca="false">IF($C$3="Yes",L28,"(hidden)")</f>
        <v>(hidden)</v>
      </c>
      <c r="K28" s="57" t="str">
        <f aca="false">IF($C$3="Yes",M28,"(hidden until Reveal = Yes)")</f>
        <v>(hidden until Reveal = Yes)</v>
      </c>
      <c r="L28" s="58" t="s">
        <v>346</v>
      </c>
      <c r="M28" s="58" t="s">
        <v>453</v>
      </c>
    </row>
    <row r="29" customFormat="false" ht="57.75" hidden="false" customHeight="true" outlineLevel="0" collapsed="false">
      <c r="A29" s="54" t="n">
        <v>18</v>
      </c>
      <c r="B29" s="55" t="s">
        <v>62</v>
      </c>
      <c r="C29" s="55" t="s">
        <v>454</v>
      </c>
      <c r="D29" s="55" t="s">
        <v>455</v>
      </c>
      <c r="E29" s="55" t="s">
        <v>456</v>
      </c>
      <c r="F29" s="55" t="s">
        <v>457</v>
      </c>
      <c r="G29" s="55" t="s">
        <v>458</v>
      </c>
      <c r="H29" s="56"/>
      <c r="I29" s="54" t="str">
        <f aca="false">IF(H29="","",IF(H29=L29,"Correct","Incorrect"))</f>
        <v/>
      </c>
      <c r="J29" s="54" t="str">
        <f aca="false">IF($C$3="Yes",L29,"(hidden)")</f>
        <v>(hidden)</v>
      </c>
      <c r="K29" s="57" t="str">
        <f aca="false">IF($C$3="Yes",M29,"(hidden until Reveal = Yes)")</f>
        <v>(hidden until Reveal = Yes)</v>
      </c>
      <c r="L29" s="58" t="s">
        <v>344</v>
      </c>
      <c r="M29" s="58" t="s">
        <v>459</v>
      </c>
    </row>
    <row r="30" customFormat="false" ht="57.75" hidden="false" customHeight="true" outlineLevel="0" collapsed="false">
      <c r="A30" s="54" t="n">
        <v>19</v>
      </c>
      <c r="B30" s="55" t="s">
        <v>63</v>
      </c>
      <c r="C30" s="55" t="s">
        <v>460</v>
      </c>
      <c r="D30" s="55" t="s">
        <v>461</v>
      </c>
      <c r="E30" s="55" t="s">
        <v>462</v>
      </c>
      <c r="F30" s="55" t="s">
        <v>463</v>
      </c>
      <c r="G30" s="55" t="s">
        <v>464</v>
      </c>
      <c r="H30" s="56"/>
      <c r="I30" s="54" t="str">
        <f aca="false">IF(H30="","",IF(H30=L30,"Correct","Incorrect"))</f>
        <v/>
      </c>
      <c r="J30" s="54" t="str">
        <f aca="false">IF($C$3="Yes",L30,"(hidden)")</f>
        <v>(hidden)</v>
      </c>
      <c r="K30" s="57" t="str">
        <f aca="false">IF($C$3="Yes",M30,"(hidden until Reveal = Yes)")</f>
        <v>(hidden until Reveal = Yes)</v>
      </c>
      <c r="L30" s="58" t="s">
        <v>345</v>
      </c>
      <c r="M30" s="58" t="s">
        <v>465</v>
      </c>
    </row>
    <row r="31" customFormat="false" ht="57.75" hidden="false" customHeight="true" outlineLevel="0" collapsed="false">
      <c r="A31" s="54" t="n">
        <v>20</v>
      </c>
      <c r="B31" s="55" t="s">
        <v>63</v>
      </c>
      <c r="C31" s="55" t="s">
        <v>466</v>
      </c>
      <c r="D31" s="55" t="s">
        <v>467</v>
      </c>
      <c r="E31" s="55" t="s">
        <v>468</v>
      </c>
      <c r="F31" s="55" t="s">
        <v>469</v>
      </c>
      <c r="G31" s="55" t="s">
        <v>470</v>
      </c>
      <c r="H31" s="56"/>
      <c r="I31" s="54" t="str">
        <f aca="false">IF(H31="","",IF(H31=L31,"Correct","Incorrect"))</f>
        <v/>
      </c>
      <c r="J31" s="54" t="str">
        <f aca="false">IF($C$3="Yes",L31,"(hidden)")</f>
        <v>(hidden)</v>
      </c>
      <c r="K31" s="57" t="str">
        <f aca="false">IF($C$3="Yes",M31,"(hidden until Reveal = Yes)")</f>
        <v>(hidden until Reveal = Yes)</v>
      </c>
      <c r="L31" s="58" t="s">
        <v>343</v>
      </c>
      <c r="M31" s="58" t="s">
        <v>471</v>
      </c>
    </row>
    <row r="32" customFormat="false" ht="57.75" hidden="false" customHeight="true" outlineLevel="0" collapsed="false">
      <c r="A32" s="54" t="n">
        <v>21</v>
      </c>
      <c r="B32" s="55" t="s">
        <v>64</v>
      </c>
      <c r="C32" s="55" t="s">
        <v>472</v>
      </c>
      <c r="D32" s="55" t="s">
        <v>473</v>
      </c>
      <c r="E32" s="55" t="s">
        <v>474</v>
      </c>
      <c r="F32" s="55" t="s">
        <v>475</v>
      </c>
      <c r="G32" s="55" t="s">
        <v>476</v>
      </c>
      <c r="H32" s="56"/>
      <c r="I32" s="54" t="str">
        <f aca="false">IF(H32="","",IF(H32=L32,"Correct","Incorrect"))</f>
        <v/>
      </c>
      <c r="J32" s="54" t="str">
        <f aca="false">IF($C$3="Yes",L32,"(hidden)")</f>
        <v>(hidden)</v>
      </c>
      <c r="K32" s="57" t="str">
        <f aca="false">IF($C$3="Yes",M32,"(hidden until Reveal = Yes)")</f>
        <v>(hidden until Reveal = Yes)</v>
      </c>
      <c r="L32" s="58" t="s">
        <v>344</v>
      </c>
      <c r="M32" s="58" t="s">
        <v>477</v>
      </c>
    </row>
    <row r="33" customFormat="false" ht="57.75" hidden="false" customHeight="true" outlineLevel="0" collapsed="false">
      <c r="A33" s="54" t="n">
        <v>22</v>
      </c>
      <c r="B33" s="55" t="s">
        <v>64</v>
      </c>
      <c r="C33" s="55" t="s">
        <v>478</v>
      </c>
      <c r="D33" s="55" t="s">
        <v>479</v>
      </c>
      <c r="E33" s="55" t="s">
        <v>480</v>
      </c>
      <c r="F33" s="55" t="s">
        <v>481</v>
      </c>
      <c r="G33" s="55" t="s">
        <v>482</v>
      </c>
      <c r="H33" s="56"/>
      <c r="I33" s="54" t="str">
        <f aca="false">IF(H33="","",IF(H33=L33,"Correct","Incorrect"))</f>
        <v/>
      </c>
      <c r="J33" s="54" t="str">
        <f aca="false">IF($C$3="Yes",L33,"(hidden)")</f>
        <v>(hidden)</v>
      </c>
      <c r="K33" s="57" t="str">
        <f aca="false">IF($C$3="Yes",M33,"(hidden until Reveal = Yes)")</f>
        <v>(hidden until Reveal = Yes)</v>
      </c>
      <c r="L33" s="58" t="s">
        <v>346</v>
      </c>
      <c r="M33" s="58" t="s">
        <v>483</v>
      </c>
    </row>
    <row r="34" customFormat="false" ht="57.75" hidden="false" customHeight="true" outlineLevel="0" collapsed="false">
      <c r="A34" s="54" t="n">
        <v>23</v>
      </c>
      <c r="B34" s="55" t="s">
        <v>65</v>
      </c>
      <c r="C34" s="55" t="s">
        <v>484</v>
      </c>
      <c r="D34" s="55" t="s">
        <v>485</v>
      </c>
      <c r="E34" s="55" t="s">
        <v>486</v>
      </c>
      <c r="F34" s="55" t="s">
        <v>487</v>
      </c>
      <c r="G34" s="55" t="s">
        <v>488</v>
      </c>
      <c r="H34" s="56"/>
      <c r="I34" s="54" t="str">
        <f aca="false">IF(H34="","",IF(H34=L34,"Correct","Incorrect"))</f>
        <v/>
      </c>
      <c r="J34" s="54" t="str">
        <f aca="false">IF($C$3="Yes",L34,"(hidden)")</f>
        <v>(hidden)</v>
      </c>
      <c r="K34" s="57" t="str">
        <f aca="false">IF($C$3="Yes",M34,"(hidden until Reveal = Yes)")</f>
        <v>(hidden until Reveal = Yes)</v>
      </c>
      <c r="L34" s="58" t="s">
        <v>343</v>
      </c>
      <c r="M34" s="58" t="s">
        <v>489</v>
      </c>
    </row>
    <row r="35" customFormat="false" ht="57.75" hidden="false" customHeight="true" outlineLevel="0" collapsed="false">
      <c r="A35" s="54" t="n">
        <v>24</v>
      </c>
      <c r="B35" s="55" t="s">
        <v>65</v>
      </c>
      <c r="C35" s="55" t="s">
        <v>490</v>
      </c>
      <c r="D35" s="55" t="s">
        <v>491</v>
      </c>
      <c r="E35" s="55" t="s">
        <v>492</v>
      </c>
      <c r="F35" s="55" t="s">
        <v>493</v>
      </c>
      <c r="G35" s="55" t="s">
        <v>494</v>
      </c>
      <c r="H35" s="56"/>
      <c r="I35" s="54" t="str">
        <f aca="false">IF(H35="","",IF(H35=L35,"Correct","Incorrect"))</f>
        <v/>
      </c>
      <c r="J35" s="54" t="str">
        <f aca="false">IF($C$3="Yes",L35,"(hidden)")</f>
        <v>(hidden)</v>
      </c>
      <c r="K35" s="57" t="str">
        <f aca="false">IF($C$3="Yes",M35,"(hidden until Reveal = Yes)")</f>
        <v>(hidden until Reveal = Yes)</v>
      </c>
      <c r="L35" s="58" t="s">
        <v>345</v>
      </c>
      <c r="M35" s="58" t="s">
        <v>495</v>
      </c>
    </row>
    <row r="38" customFormat="false" ht="15" hidden="false" customHeight="false" outlineLevel="0" collapsed="false">
      <c r="A38" s="59" t="s">
        <v>496</v>
      </c>
    </row>
    <row r="39" customFormat="false" ht="15" hidden="false" customHeight="false" outlineLevel="0" collapsed="false">
      <c r="A39" s="2" t="s">
        <v>497</v>
      </c>
    </row>
    <row r="40" customFormat="false" ht="30" hidden="false" customHeight="true" outlineLevel="0" collapsed="false">
      <c r="A40" s="9" t="s">
        <v>72</v>
      </c>
      <c r="B40" s="9" t="s">
        <v>23</v>
      </c>
      <c r="C40" s="9" t="s">
        <v>498</v>
      </c>
      <c r="D40" s="9" t="s">
        <v>499</v>
      </c>
      <c r="E40" s="9"/>
      <c r="F40" s="9"/>
      <c r="G40" s="9"/>
    </row>
    <row r="41" customFormat="false" ht="27.75" hidden="false" customHeight="true" outlineLevel="0" collapsed="false">
      <c r="A41" s="29" t="n">
        <v>1</v>
      </c>
      <c r="B41" s="60" t="str">
        <f aca="false">Control!$A$8</f>
        <v>Base Case</v>
      </c>
      <c r="C41" s="61"/>
      <c r="D41" s="13" t="str">
        <f aca="false">IF(Control!$B$4&lt;&gt;B41,"Select this scenario on Control to check",IF(C41="","Enter a prediction first",IF(C41=Dashboard!$C$8,"Correct: matches the live weakest sector","Different: the live weakest sector is "&amp;Dashboard!$C$8)))</f>
        <v>Enter a prediction first</v>
      </c>
      <c r="E41" s="13"/>
      <c r="F41" s="13"/>
      <c r="G41" s="13"/>
    </row>
    <row r="42" customFormat="false" ht="27.75" hidden="false" customHeight="true" outlineLevel="0" collapsed="false">
      <c r="A42" s="29" t="n">
        <v>2</v>
      </c>
      <c r="B42" s="60" t="str">
        <f aca="false">Control!$A$9</f>
        <v>Supply Shock</v>
      </c>
      <c r="C42" s="61"/>
      <c r="D42" s="13" t="str">
        <f aca="false">IF(Control!$B$4&lt;&gt;B42,"Select this scenario on Control to check",IF(C42="","Enter a prediction first",IF(C42=Dashboard!$C$8,"Correct: matches the live weakest sector","Different: the live weakest sector is "&amp;Dashboard!$C$8)))</f>
        <v>Select this scenario on Control to check</v>
      </c>
      <c r="E42" s="13"/>
      <c r="F42" s="13"/>
      <c r="G42" s="13"/>
    </row>
    <row r="43" customFormat="false" ht="27.75" hidden="false" customHeight="true" outlineLevel="0" collapsed="false">
      <c r="A43" s="29" t="n">
        <v>3</v>
      </c>
      <c r="B43" s="60" t="str">
        <f aca="false">Control!$A$10</f>
        <v>Cash Squeeze</v>
      </c>
      <c r="C43" s="61"/>
      <c r="D43" s="13" t="str">
        <f aca="false">IF(Control!$B$4&lt;&gt;B43,"Select this scenario on Control to check",IF(C43="","Enter a prediction first",IF(C43=Dashboard!$C$8,"Correct: matches the live weakest sector","Different: the live weakest sector is "&amp;Dashboard!$C$8)))</f>
        <v>Select this scenario on Control to check</v>
      </c>
      <c r="E43" s="13"/>
      <c r="F43" s="13"/>
      <c r="G43" s="13"/>
    </row>
    <row r="44" customFormat="false" ht="27.75" hidden="false" customHeight="true" outlineLevel="0" collapsed="false">
      <c r="A44" s="29" t="n">
        <v>4</v>
      </c>
      <c r="B44" s="60" t="str">
        <f aca="false">Control!$A$11</f>
        <v>Regulatory Shock</v>
      </c>
      <c r="C44" s="61"/>
      <c r="D44" s="13" t="str">
        <f aca="false">IF(Control!$B$4&lt;&gt;B44,"Select this scenario on Control to check",IF(C44="","Enter a prediction first",IF(C44=Dashboard!$C$8,"Correct: matches the live weakest sector","Different: the live weakest sector is "&amp;Dashboard!$C$8)))</f>
        <v>Select this scenario on Control to check</v>
      </c>
      <c r="E44" s="13"/>
      <c r="F44" s="13"/>
      <c r="G44" s="13"/>
    </row>
    <row r="45" customFormat="false" ht="27.75" hidden="false" customHeight="true" outlineLevel="0" collapsed="false">
      <c r="A45" s="29" t="n">
        <v>5</v>
      </c>
      <c r="B45" s="60" t="str">
        <f aca="false">Control!$A$12</f>
        <v>Talent Exodus</v>
      </c>
      <c r="C45" s="61"/>
      <c r="D45" s="13" t="str">
        <f aca="false">IF(Control!$B$4&lt;&gt;B45,"Select this scenario on Control to check",IF(C45="","Enter a prediction first",IF(C45=Dashboard!$C$8,"Correct: matches the live weakest sector","Different: the live weakest sector is "&amp;Dashboard!$C$8)))</f>
        <v>Select this scenario on Control to check</v>
      </c>
      <c r="E45" s="13"/>
      <c r="F45" s="13"/>
      <c r="G45" s="13"/>
    </row>
    <row r="46" customFormat="false" ht="27.75" hidden="false" customHeight="true" outlineLevel="0" collapsed="false">
      <c r="A46" s="29" t="n">
        <v>6</v>
      </c>
      <c r="B46" s="60" t="str">
        <f aca="false">Control!$A$13</f>
        <v>Control Failure / Fraud</v>
      </c>
      <c r="C46" s="61"/>
      <c r="D46" s="13" t="str">
        <f aca="false">IF(Control!$B$4&lt;&gt;B46,"Select this scenario on Control to check",IF(C46="","Enter a prediction first",IF(C46=Dashboard!$C$8,"Correct: matches the live weakest sector","Different: the live weakest sector is "&amp;Dashboard!$C$8)))</f>
        <v>Select this scenario on Control to check</v>
      </c>
      <c r="E46" s="13"/>
      <c r="F46" s="13"/>
      <c r="G46" s="13"/>
    </row>
  </sheetData>
  <mergeCells count="7">
    <mergeCell ref="D40:G40"/>
    <mergeCell ref="D41:G41"/>
    <mergeCell ref="D42:G42"/>
    <mergeCell ref="D43:G43"/>
    <mergeCell ref="D44:G44"/>
    <mergeCell ref="D45:G45"/>
    <mergeCell ref="D46:G46"/>
  </mergeCells>
  <conditionalFormatting sqref="I12:I35">
    <cfRule type="cellIs" priority="2" operator="equal" aboveAverage="0" equalAverage="0" bottom="0" percent="0" rank="0" text="" dxfId="0">
      <formula>"Correct"</formula>
    </cfRule>
    <cfRule type="cellIs" priority="3" operator="equal" aboveAverage="0" equalAverage="0" bottom="0" percent="0" rank="0" text="" dxfId="2">
      <formula>"Incorrect"</formula>
    </cfRule>
  </conditionalFormatting>
  <dataValidations count="3">
    <dataValidation allowBlank="false" errorStyle="stop" operator="between" showDropDown="false" showErrorMessage="false" showInputMessage="false" sqref="C3" type="list">
      <formula1>"No,Yes"</formula1>
      <formula2>0</formula2>
    </dataValidation>
    <dataValidation allowBlank="true" errorStyle="stop" operator="between" showDropDown="false" showErrorMessage="false" showInputMessage="false" sqref="H12:H35" type="list">
      <formula1>"A,B,C,D"</formula1>
      <formula2>0</formula2>
    </dataValidation>
    <dataValidation allowBlank="true" errorStyle="stop" operator="between" showDropDown="false" showErrorMessage="false" showInputMessage="false" sqref="C41:C46" type="list">
      <formula1>"Government Affairs,Policy Making,Public Affairs,Public Interest,Human Resources,Organizational Interest,Payroll,Finance,Audit,Commercials,Procurement,Production"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2026-10-07T06:39:54Z</dcterms:created>
  <dc:creator>openpyxl</dc:creator>
  <dc:description/>
  <dc:language>en-US</dc:language>
  <cp:lastModifiedBy/>
  <dcterms:modified xsi:type="dcterms:W3CDTF">2026-10-06T23:40:03Z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